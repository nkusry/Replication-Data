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564" activeTab="1"/>
  </bookViews>
  <sheets>
    <sheet name="Read Me" sheetId="1" r:id="rId1"/>
    <sheet name="Table1-Tau" sheetId="2" r:id="rId2"/>
  </sheets>
  <calcPr calcId="144525"/>
</workbook>
</file>

<file path=xl/sharedStrings.xml><?xml version="1.0" encoding="utf-8"?>
<sst xmlns="http://schemas.openxmlformats.org/spreadsheetml/2006/main" count="20" uniqueCount="20">
  <si>
    <t>Table1-Tau</t>
  </si>
  <si>
    <t>We constuct the recruiter-producer ratio in the United State, 2015-2022.</t>
  </si>
  <si>
    <t>We use the same method in LMS model in Table1-Tau, where</t>
  </si>
  <si>
    <r>
      <rPr>
        <b/>
        <sz val="11"/>
        <color theme="1"/>
        <rFont val="宋体"/>
        <charset val="134"/>
        <scheme val="minor"/>
      </rPr>
      <t>Employee</t>
    </r>
    <r>
      <rPr>
        <sz val="11"/>
        <color theme="1"/>
        <rFont val="宋体"/>
        <charset val="134"/>
        <scheme val="minor"/>
      </rPr>
      <t xml:space="preserve"> comes from https://fred.stlouisfed.org/series/USPRIV</t>
    </r>
  </si>
  <si>
    <r>
      <rPr>
        <b/>
        <sz val="11"/>
        <color theme="1"/>
        <rFont val="宋体"/>
        <charset val="134"/>
        <scheme val="minor"/>
      </rPr>
      <t>Recruiter</t>
    </r>
    <r>
      <rPr>
        <sz val="11"/>
        <color theme="1"/>
        <rFont val="宋体"/>
        <charset val="134"/>
        <scheme val="minor"/>
      </rPr>
      <t xml:space="preserve"> comes from https://beta.bls.gov/dataViewer/view/timeseries/CES6056131001;jsessionid=0B34F8964412FFEF1754E318DAFA9399</t>
    </r>
  </si>
  <si>
    <r>
      <rPr>
        <b/>
        <sz val="11"/>
        <color theme="1"/>
        <rFont val="宋体"/>
        <charset val="134"/>
        <scheme val="minor"/>
      </rPr>
      <t>Vacancy</t>
    </r>
    <r>
      <rPr>
        <sz val="11"/>
        <color theme="1"/>
        <rFont val="宋体"/>
        <charset val="134"/>
        <scheme val="minor"/>
      </rPr>
      <t xml:space="preserve"> comes from https://fred.stlouisfed.org/series/JTSJOL</t>
    </r>
  </si>
  <si>
    <r>
      <rPr>
        <b/>
        <sz val="11"/>
        <color theme="1"/>
        <rFont val="宋体"/>
        <charset val="134"/>
        <scheme val="minor"/>
      </rPr>
      <t>Separation</t>
    </r>
    <r>
      <rPr>
        <sz val="11"/>
        <color theme="1"/>
        <rFont val="宋体"/>
        <charset val="134"/>
        <scheme val="minor"/>
      </rPr>
      <t xml:space="preserve"> comes from https://fred.stlouisfed.org/series/JTSTSR</t>
    </r>
  </si>
  <si>
    <r>
      <rPr>
        <b/>
        <sz val="11"/>
        <color theme="1"/>
        <rFont val="宋体"/>
        <charset val="134"/>
        <scheme val="minor"/>
      </rPr>
      <t>Hire</t>
    </r>
    <r>
      <rPr>
        <sz val="11"/>
        <color theme="1"/>
        <rFont val="宋体"/>
        <charset val="134"/>
        <scheme val="minor"/>
      </rPr>
      <t xml:space="preserve"> comes from https://fred.stlouisfed.org/series/JTSHIL</t>
    </r>
  </si>
  <si>
    <t>Year</t>
  </si>
  <si>
    <t>Month</t>
  </si>
  <si>
    <t>Employees</t>
  </si>
  <si>
    <t>Recruiter</t>
  </si>
  <si>
    <t>Vacancy</t>
  </si>
  <si>
    <t>Separation</t>
  </si>
  <si>
    <t>Hire</t>
  </si>
  <si>
    <t>tau</t>
  </si>
  <si>
    <t>Tauces</t>
  </si>
  <si>
    <t>q</t>
  </si>
  <si>
    <t>Taujolts</t>
  </si>
  <si>
    <t>Tau</t>
  </si>
</sst>
</file>

<file path=xl/styles.xml><?xml version="1.0" encoding="utf-8"?>
<styleSheet xmlns="http://schemas.openxmlformats.org/spreadsheetml/2006/main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0.0"/>
    <numFmt numFmtId="177" formatCode="0.000_ "/>
  </numFmts>
  <fonts count="24">
    <font>
      <sz val="11"/>
      <color theme="1"/>
      <name val="宋体"/>
      <charset val="134"/>
      <scheme val="minor"/>
    </font>
    <font>
      <sz val="12"/>
      <name val="宋体"/>
      <charset val="134"/>
    </font>
    <font>
      <sz val="10"/>
      <color indexed="8"/>
      <name val="Arial"/>
      <charset val="0"/>
    </font>
    <font>
      <sz val="12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6" fillId="4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8" fillId="9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8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7" fillId="12" borderId="5" applyNumberFormat="0" applyAlignment="0" applyProtection="0">
      <alignment vertical="center"/>
    </xf>
    <xf numFmtId="0" fontId="18" fillId="12" borderId="1" applyNumberFormat="0" applyAlignment="0" applyProtection="0">
      <alignment vertical="center"/>
    </xf>
    <xf numFmtId="0" fontId="19" fillId="13" borderId="6" applyNumberFormat="0" applyAlignment="0" applyProtection="0">
      <alignment vertical="center"/>
    </xf>
    <xf numFmtId="0" fontId="5" fillId="14" borderId="0" applyNumberFormat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2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" fillId="0" borderId="0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177" fontId="0" fillId="0" borderId="0" xfId="0" applyNumberFormat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/>
    </xf>
    <xf numFmtId="0" fontId="3" fillId="0" borderId="0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9"/>
  <sheetViews>
    <sheetView workbookViewId="0">
      <selection activeCell="A9" sqref="A9"/>
    </sheetView>
  </sheetViews>
  <sheetFormatPr defaultColWidth="9" defaultRowHeight="14.4"/>
  <sheetData>
    <row r="1" spans="1:1">
      <c r="A1" s="8" t="s">
        <v>0</v>
      </c>
    </row>
    <row r="2" ht="15.6" spans="1:1">
      <c r="A2" s="9" t="s">
        <v>1</v>
      </c>
    </row>
    <row r="3" ht="15.6" spans="1:1">
      <c r="A3" s="9" t="s">
        <v>2</v>
      </c>
    </row>
    <row r="4" ht="15.6" spans="1:1">
      <c r="A4" s="10"/>
    </row>
    <row r="5" spans="1:1">
      <c r="A5" s="8" t="s">
        <v>3</v>
      </c>
    </row>
    <row r="6" spans="1:1">
      <c r="A6" s="8" t="s">
        <v>4</v>
      </c>
    </row>
    <row r="7" spans="1:1">
      <c r="A7" s="8" t="s">
        <v>5</v>
      </c>
    </row>
    <row r="8" spans="1:1">
      <c r="A8" s="8" t="s">
        <v>6</v>
      </c>
    </row>
    <row r="9" spans="1:1">
      <c r="A9" s="8" t="s">
        <v>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94"/>
  <sheetViews>
    <sheetView tabSelected="1" topLeftCell="A73" workbookViewId="0">
      <selection activeCell="A89" sqref="$A89:$XFD94"/>
    </sheetView>
  </sheetViews>
  <sheetFormatPr defaultColWidth="9" defaultRowHeight="15.6"/>
  <cols>
    <col min="1" max="2" width="10" style="1"/>
    <col min="3" max="7" width="12.7777777777778" style="2" customWidth="1"/>
    <col min="8" max="12" width="12.7777777777778" style="3" customWidth="1"/>
  </cols>
  <sheetData>
    <row r="1" spans="1:12">
      <c r="A1" s="4" t="s">
        <v>8</v>
      </c>
      <c r="B1" s="4" t="s">
        <v>9</v>
      </c>
      <c r="C1" s="5" t="s">
        <v>10</v>
      </c>
      <c r="D1" s="5" t="s">
        <v>11</v>
      </c>
      <c r="E1" s="5" t="s">
        <v>12</v>
      </c>
      <c r="F1" s="5" t="s">
        <v>13</v>
      </c>
      <c r="G1" s="5" t="s">
        <v>14</v>
      </c>
      <c r="H1" s="3" t="s">
        <v>15</v>
      </c>
      <c r="I1" s="3" t="s">
        <v>16</v>
      </c>
      <c r="J1" s="3" t="s">
        <v>17</v>
      </c>
      <c r="K1" s="3" t="s">
        <v>18</v>
      </c>
      <c r="L1" s="3" t="s">
        <v>19</v>
      </c>
    </row>
    <row r="2" spans="1:12">
      <c r="A2" s="1">
        <v>2015</v>
      </c>
      <c r="B2" s="1">
        <v>1</v>
      </c>
      <c r="C2" s="2">
        <v>118602</v>
      </c>
      <c r="D2" s="6">
        <v>293.3</v>
      </c>
      <c r="E2" s="7">
        <v>5344</v>
      </c>
      <c r="F2" s="7">
        <v>3.5</v>
      </c>
      <c r="G2" s="7">
        <v>5061</v>
      </c>
      <c r="H2" s="3">
        <f>D2/C2/0.00299*0.025</f>
        <v>0.0206770639375706</v>
      </c>
      <c r="I2" s="3">
        <f>H2/(1-H2)</f>
        <v>0.0211136318533568</v>
      </c>
      <c r="J2" s="3">
        <f>G2/E2</f>
        <v>0.947043413173653</v>
      </c>
      <c r="K2" s="3">
        <f>0.77*F2/100/(J2-0.77*F2/100)</f>
        <v>0.0292905042185251</v>
      </c>
      <c r="L2" s="3">
        <f>AVERAGE(I2,K2)</f>
        <v>0.0252020680359409</v>
      </c>
    </row>
    <row r="3" spans="1:12">
      <c r="A3" s="1">
        <v>2015</v>
      </c>
      <c r="B3" s="1">
        <v>2</v>
      </c>
      <c r="C3" s="2">
        <v>118851</v>
      </c>
      <c r="D3" s="6">
        <v>293.3</v>
      </c>
      <c r="E3" s="7">
        <v>5466</v>
      </c>
      <c r="F3" s="7">
        <v>3.5</v>
      </c>
      <c r="G3" s="7">
        <v>5127</v>
      </c>
      <c r="H3" s="3">
        <f t="shared" ref="H3:H34" si="0">D3/C3/0.00299*0.025</f>
        <v>0.0206337442438326</v>
      </c>
      <c r="I3" s="3">
        <f t="shared" ref="I3:I34" si="1">H3/(1-H3)</f>
        <v>0.0210684655740985</v>
      </c>
      <c r="J3" s="3">
        <f t="shared" ref="J3:J34" si="2">G3/E3</f>
        <v>0.937980241492865</v>
      </c>
      <c r="K3" s="3">
        <f t="shared" ref="K3:K34" si="3">0.77*F3/100/(J3-0.77*F3/100)</f>
        <v>0.0295818939619811</v>
      </c>
      <c r="L3" s="3">
        <f t="shared" ref="L3:L34" si="4">AVERAGE(I3,K3)</f>
        <v>0.0253251797680398</v>
      </c>
    </row>
    <row r="4" spans="1:12">
      <c r="A4" s="1">
        <v>2015</v>
      </c>
      <c r="B4" s="1">
        <v>3</v>
      </c>
      <c r="C4" s="2">
        <v>118954</v>
      </c>
      <c r="D4" s="6">
        <v>290.7</v>
      </c>
      <c r="E4" s="7">
        <v>5210</v>
      </c>
      <c r="F4" s="7">
        <v>3.6</v>
      </c>
      <c r="G4" s="7">
        <v>5126</v>
      </c>
      <c r="H4" s="3">
        <f t="shared" si="0"/>
        <v>0.0204331254660538</v>
      </c>
      <c r="I4" s="3">
        <f t="shared" si="1"/>
        <v>0.0208593471229571</v>
      </c>
      <c r="J4" s="3">
        <f t="shared" si="2"/>
        <v>0.983877159309021</v>
      </c>
      <c r="K4" s="3">
        <f t="shared" si="3"/>
        <v>0.0289910499860004</v>
      </c>
      <c r="L4" s="3">
        <f t="shared" si="4"/>
        <v>0.0249251985544788</v>
      </c>
    </row>
    <row r="5" spans="1:12">
      <c r="A5" s="1">
        <v>2015</v>
      </c>
      <c r="B5" s="1">
        <v>4</v>
      </c>
      <c r="C5" s="2">
        <v>119197</v>
      </c>
      <c r="D5" s="6">
        <v>290.6</v>
      </c>
      <c r="E5" s="7">
        <v>5598</v>
      </c>
      <c r="F5" s="7">
        <v>3.5</v>
      </c>
      <c r="G5" s="7">
        <v>5196</v>
      </c>
      <c r="H5" s="3">
        <f t="shared" si="0"/>
        <v>0.0203844550306436</v>
      </c>
      <c r="I5" s="3">
        <f t="shared" si="1"/>
        <v>0.0208086275634604</v>
      </c>
      <c r="J5" s="3">
        <f t="shared" si="2"/>
        <v>0.928188638799571</v>
      </c>
      <c r="K5" s="3">
        <f t="shared" si="3"/>
        <v>0.0299032895836521</v>
      </c>
      <c r="L5" s="3">
        <f t="shared" si="4"/>
        <v>0.0253559585735562</v>
      </c>
    </row>
    <row r="6" spans="1:12">
      <c r="A6" s="1">
        <v>2015</v>
      </c>
      <c r="B6" s="1">
        <v>5</v>
      </c>
      <c r="C6" s="2">
        <v>119528</v>
      </c>
      <c r="D6" s="6">
        <v>290.3</v>
      </c>
      <c r="E6" s="7">
        <v>5563</v>
      </c>
      <c r="F6" s="7">
        <v>3.4</v>
      </c>
      <c r="G6" s="7">
        <v>5142</v>
      </c>
      <c r="H6" s="3">
        <f t="shared" si="0"/>
        <v>0.0203070203222978</v>
      </c>
      <c r="I6" s="3">
        <f t="shared" si="1"/>
        <v>0.0207279430837387</v>
      </c>
      <c r="J6" s="3">
        <f t="shared" si="2"/>
        <v>0.924321409311523</v>
      </c>
      <c r="K6" s="3">
        <f t="shared" si="3"/>
        <v>0.0291490846859722</v>
      </c>
      <c r="L6" s="3">
        <f t="shared" si="4"/>
        <v>0.0249385138848555</v>
      </c>
    </row>
    <row r="7" spans="1:12">
      <c r="A7" s="1">
        <v>2015</v>
      </c>
      <c r="B7" s="1">
        <v>6</v>
      </c>
      <c r="C7" s="2">
        <v>119680</v>
      </c>
      <c r="D7" s="6">
        <v>292.7</v>
      </c>
      <c r="E7" s="7">
        <v>5248</v>
      </c>
      <c r="F7" s="7">
        <v>3.5</v>
      </c>
      <c r="G7" s="7">
        <v>5125</v>
      </c>
      <c r="H7" s="3">
        <f t="shared" si="0"/>
        <v>0.0204489005240284</v>
      </c>
      <c r="I7" s="3">
        <f t="shared" si="1"/>
        <v>0.0208757874244314</v>
      </c>
      <c r="J7" s="3">
        <f t="shared" si="2"/>
        <v>0.9765625</v>
      </c>
      <c r="K7" s="3">
        <f t="shared" si="3"/>
        <v>0.0283799971040819</v>
      </c>
      <c r="L7" s="3">
        <f t="shared" si="4"/>
        <v>0.0246278922642566</v>
      </c>
    </row>
    <row r="8" spans="1:12">
      <c r="A8" s="1">
        <v>2015</v>
      </c>
      <c r="B8" s="1">
        <v>7</v>
      </c>
      <c r="C8" s="2">
        <v>119939</v>
      </c>
      <c r="D8" s="6">
        <v>292.4</v>
      </c>
      <c r="E8" s="7">
        <v>6056</v>
      </c>
      <c r="F8" s="7">
        <v>3.4</v>
      </c>
      <c r="G8" s="7">
        <v>5150</v>
      </c>
      <c r="H8" s="3">
        <f t="shared" si="0"/>
        <v>0.0203838288922845</v>
      </c>
      <c r="I8" s="3">
        <f t="shared" si="1"/>
        <v>0.0208079750962412</v>
      </c>
      <c r="J8" s="3">
        <f t="shared" si="2"/>
        <v>0.850396301188904</v>
      </c>
      <c r="K8" s="3">
        <f t="shared" si="3"/>
        <v>0.0317635066938572</v>
      </c>
      <c r="L8" s="3">
        <f t="shared" si="4"/>
        <v>0.0262857408950492</v>
      </c>
    </row>
    <row r="9" spans="1:12">
      <c r="A9" s="1">
        <v>2015</v>
      </c>
      <c r="B9" s="1">
        <v>8</v>
      </c>
      <c r="C9" s="2">
        <v>120070</v>
      </c>
      <c r="D9" s="6">
        <v>293.5</v>
      </c>
      <c r="E9" s="7">
        <v>5467</v>
      </c>
      <c r="F9" s="7">
        <v>3.5</v>
      </c>
      <c r="G9" s="7">
        <v>5163</v>
      </c>
      <c r="H9" s="3">
        <f t="shared" si="0"/>
        <v>0.0204381892056835</v>
      </c>
      <c r="I9" s="3">
        <f t="shared" si="1"/>
        <v>0.0208646243457678</v>
      </c>
      <c r="J9" s="3">
        <f t="shared" si="2"/>
        <v>0.94439363453448</v>
      </c>
      <c r="K9" s="3">
        <f t="shared" si="3"/>
        <v>0.0293751016253709</v>
      </c>
      <c r="L9" s="3">
        <f t="shared" si="4"/>
        <v>0.0251198629855694</v>
      </c>
    </row>
    <row r="10" spans="1:12">
      <c r="A10" s="1">
        <v>2015</v>
      </c>
      <c r="B10" s="1">
        <v>9</v>
      </c>
      <c r="C10" s="2">
        <v>120225</v>
      </c>
      <c r="D10" s="6">
        <v>292.2</v>
      </c>
      <c r="E10" s="7">
        <v>5488</v>
      </c>
      <c r="F10" s="7">
        <v>3.6</v>
      </c>
      <c r="G10" s="7">
        <v>5287</v>
      </c>
      <c r="H10" s="3">
        <f t="shared" si="0"/>
        <v>0.0203214290930258</v>
      </c>
      <c r="I10" s="3">
        <f t="shared" si="1"/>
        <v>0.0207429555943155</v>
      </c>
      <c r="J10" s="3">
        <f t="shared" si="2"/>
        <v>0.963374635568513</v>
      </c>
      <c r="K10" s="3">
        <f t="shared" si="3"/>
        <v>0.0296263161066445</v>
      </c>
      <c r="L10" s="3">
        <f t="shared" si="4"/>
        <v>0.02518463585048</v>
      </c>
    </row>
    <row r="11" spans="1:12">
      <c r="A11" s="1">
        <v>2015</v>
      </c>
      <c r="B11" s="1">
        <v>10</v>
      </c>
      <c r="C11" s="2">
        <v>120529</v>
      </c>
      <c r="D11" s="6">
        <v>290.7</v>
      </c>
      <c r="E11" s="7">
        <v>5773</v>
      </c>
      <c r="F11" s="7">
        <v>3.5</v>
      </c>
      <c r="G11" s="7">
        <v>5338</v>
      </c>
      <c r="H11" s="3">
        <f t="shared" si="0"/>
        <v>0.0201661177533122</v>
      </c>
      <c r="I11" s="3">
        <f t="shared" si="1"/>
        <v>0.0205811598462718</v>
      </c>
      <c r="J11" s="3">
        <f t="shared" si="2"/>
        <v>0.924649229170275</v>
      </c>
      <c r="K11" s="3">
        <f t="shared" si="3"/>
        <v>0.0300211909783072</v>
      </c>
      <c r="L11" s="3">
        <f t="shared" si="4"/>
        <v>0.0253011754122895</v>
      </c>
    </row>
    <row r="12" spans="1:12">
      <c r="A12" s="1">
        <v>2015</v>
      </c>
      <c r="B12" s="1">
        <v>11</v>
      </c>
      <c r="C12" s="2">
        <v>120729</v>
      </c>
      <c r="D12" s="6">
        <v>294.1</v>
      </c>
      <c r="E12" s="7">
        <v>5708</v>
      </c>
      <c r="F12" s="7">
        <v>3.6</v>
      </c>
      <c r="G12" s="7">
        <v>5358</v>
      </c>
      <c r="H12" s="3">
        <f t="shared" si="0"/>
        <v>0.0203681808044003</v>
      </c>
      <c r="I12" s="3">
        <f t="shared" si="1"/>
        <v>0.0207916692835939</v>
      </c>
      <c r="J12" s="3">
        <f t="shared" si="2"/>
        <v>0.938682550805886</v>
      </c>
      <c r="K12" s="3">
        <f t="shared" si="3"/>
        <v>0.0304293518712459</v>
      </c>
      <c r="L12" s="3">
        <f t="shared" si="4"/>
        <v>0.0256105105774199</v>
      </c>
    </row>
    <row r="13" spans="1:12">
      <c r="A13" s="1">
        <v>2015</v>
      </c>
      <c r="B13" s="1">
        <v>12</v>
      </c>
      <c r="C13" s="2">
        <v>120986</v>
      </c>
      <c r="D13" s="6">
        <v>298.2</v>
      </c>
      <c r="E13" s="7">
        <v>5845</v>
      </c>
      <c r="F13" s="7">
        <v>3.7</v>
      </c>
      <c r="G13" s="7">
        <v>5540</v>
      </c>
      <c r="H13" s="3">
        <f t="shared" si="0"/>
        <v>0.0206082607639669</v>
      </c>
      <c r="I13" s="3">
        <f t="shared" si="1"/>
        <v>0.0210418976782898</v>
      </c>
      <c r="J13" s="3">
        <f t="shared" si="2"/>
        <v>0.947818648417451</v>
      </c>
      <c r="K13" s="3">
        <f t="shared" si="3"/>
        <v>0.0309900056405761</v>
      </c>
      <c r="L13" s="3">
        <f t="shared" si="4"/>
        <v>0.0260159516594329</v>
      </c>
    </row>
    <row r="14" spans="1:12">
      <c r="A14" s="1">
        <v>2016</v>
      </c>
      <c r="B14" s="1">
        <v>1</v>
      </c>
      <c r="C14" s="2">
        <v>121084</v>
      </c>
      <c r="D14" s="6">
        <v>295</v>
      </c>
      <c r="E14" s="7">
        <v>6012</v>
      </c>
      <c r="F14" s="7">
        <v>3.6</v>
      </c>
      <c r="G14" s="7">
        <v>5220</v>
      </c>
      <c r="H14" s="3">
        <f t="shared" si="0"/>
        <v>0.0203706120044472</v>
      </c>
      <c r="I14" s="3">
        <f t="shared" si="1"/>
        <v>0.0207942026383346</v>
      </c>
      <c r="J14" s="3">
        <f t="shared" si="2"/>
        <v>0.868263473053892</v>
      </c>
      <c r="K14" s="3">
        <f t="shared" si="3"/>
        <v>0.0329786630776951</v>
      </c>
      <c r="L14" s="3">
        <f t="shared" si="4"/>
        <v>0.0268864328580148</v>
      </c>
    </row>
    <row r="15" spans="1:12">
      <c r="A15" s="1">
        <v>2016</v>
      </c>
      <c r="B15" s="1">
        <v>2</v>
      </c>
      <c r="C15" s="2">
        <v>121272</v>
      </c>
      <c r="D15" s="6">
        <v>294.5</v>
      </c>
      <c r="E15" s="7">
        <v>5770</v>
      </c>
      <c r="F15" s="7">
        <v>3.7</v>
      </c>
      <c r="G15" s="7">
        <v>5470</v>
      </c>
      <c r="H15" s="3">
        <f t="shared" si="0"/>
        <v>0.0203045598484382</v>
      </c>
      <c r="I15" s="3">
        <f t="shared" si="1"/>
        <v>0.0207253795580564</v>
      </c>
      <c r="J15" s="3">
        <f t="shared" si="2"/>
        <v>0.948006932409012</v>
      </c>
      <c r="K15" s="3">
        <f t="shared" si="3"/>
        <v>0.0309836600021709</v>
      </c>
      <c r="L15" s="3">
        <f t="shared" si="4"/>
        <v>0.0258545197801136</v>
      </c>
    </row>
    <row r="16" spans="1:12">
      <c r="A16" s="1">
        <v>2016</v>
      </c>
      <c r="B16" s="1">
        <v>3</v>
      </c>
      <c r="C16" s="2">
        <v>121488</v>
      </c>
      <c r="D16" s="6">
        <v>294.7</v>
      </c>
      <c r="E16" s="7">
        <v>6129</v>
      </c>
      <c r="F16" s="7">
        <v>3.6</v>
      </c>
      <c r="G16" s="7">
        <v>5359</v>
      </c>
      <c r="H16" s="3">
        <f t="shared" si="0"/>
        <v>0.0202822239459245</v>
      </c>
      <c r="I16" s="3">
        <f t="shared" si="1"/>
        <v>0.020702108751781</v>
      </c>
      <c r="J16" s="3">
        <f t="shared" si="2"/>
        <v>0.874367759830315</v>
      </c>
      <c r="K16" s="3">
        <f t="shared" si="3"/>
        <v>0.0327408886141217</v>
      </c>
      <c r="L16" s="3">
        <f t="shared" si="4"/>
        <v>0.0267214986829514</v>
      </c>
    </row>
    <row r="17" spans="1:12">
      <c r="A17" s="1">
        <v>2016</v>
      </c>
      <c r="B17" s="1">
        <v>4</v>
      </c>
      <c r="C17" s="2">
        <v>121672</v>
      </c>
      <c r="D17" s="6">
        <v>296.5</v>
      </c>
      <c r="E17" s="7">
        <v>5803</v>
      </c>
      <c r="F17" s="7">
        <v>3.6</v>
      </c>
      <c r="G17" s="7">
        <v>5294</v>
      </c>
      <c r="H17" s="3">
        <f t="shared" si="0"/>
        <v>0.0203752464820711</v>
      </c>
      <c r="I17" s="3">
        <f t="shared" si="1"/>
        <v>0.0207990318832814</v>
      </c>
      <c r="J17" s="3">
        <f t="shared" si="2"/>
        <v>0.912286748233672</v>
      </c>
      <c r="K17" s="3">
        <f t="shared" si="3"/>
        <v>0.0313373751108688</v>
      </c>
      <c r="L17" s="3">
        <f t="shared" si="4"/>
        <v>0.0260682034970751</v>
      </c>
    </row>
    <row r="18" spans="1:12">
      <c r="A18" s="1">
        <v>2016</v>
      </c>
      <c r="B18" s="1">
        <v>5</v>
      </c>
      <c r="C18" s="2">
        <v>121702</v>
      </c>
      <c r="D18" s="6">
        <v>296.6</v>
      </c>
      <c r="E18" s="7">
        <v>5777</v>
      </c>
      <c r="F18" s="7">
        <v>3.6</v>
      </c>
      <c r="G18" s="7">
        <v>5197</v>
      </c>
      <c r="H18" s="3">
        <f t="shared" si="0"/>
        <v>0.0203770941345902</v>
      </c>
      <c r="I18" s="3">
        <f t="shared" si="1"/>
        <v>0.0208009571974931</v>
      </c>
      <c r="J18" s="3">
        <f t="shared" si="2"/>
        <v>0.89960186948243</v>
      </c>
      <c r="K18" s="3">
        <f t="shared" si="3"/>
        <v>0.0317932978884573</v>
      </c>
      <c r="L18" s="3">
        <f t="shared" si="4"/>
        <v>0.0262971275429752</v>
      </c>
    </row>
    <row r="19" spans="1:12">
      <c r="A19" s="1">
        <v>2016</v>
      </c>
      <c r="B19" s="1">
        <v>6</v>
      </c>
      <c r="C19" s="2">
        <v>121972</v>
      </c>
      <c r="D19" s="6">
        <v>295</v>
      </c>
      <c r="E19" s="7">
        <v>5742</v>
      </c>
      <c r="F19" s="7">
        <v>3.6</v>
      </c>
      <c r="G19" s="7">
        <v>5281</v>
      </c>
      <c r="H19" s="3">
        <f t="shared" si="0"/>
        <v>0.0202223066273119</v>
      </c>
      <c r="I19" s="3">
        <f t="shared" si="1"/>
        <v>0.0206396887417396</v>
      </c>
      <c r="J19" s="3">
        <f t="shared" si="2"/>
        <v>0.919714385231627</v>
      </c>
      <c r="K19" s="3">
        <f t="shared" si="3"/>
        <v>0.0310764287970287</v>
      </c>
      <c r="L19" s="3">
        <f t="shared" si="4"/>
        <v>0.0258580587693842</v>
      </c>
    </row>
    <row r="20" spans="1:12">
      <c r="A20" s="1">
        <v>2016</v>
      </c>
      <c r="B20" s="1">
        <v>7</v>
      </c>
      <c r="C20" s="2">
        <v>122226</v>
      </c>
      <c r="D20" s="6">
        <v>293.9</v>
      </c>
      <c r="E20" s="7">
        <v>5962</v>
      </c>
      <c r="F20" s="7">
        <v>3.5</v>
      </c>
      <c r="G20" s="7">
        <v>5426</v>
      </c>
      <c r="H20" s="3">
        <f t="shared" si="0"/>
        <v>0.0201050337860338</v>
      </c>
      <c r="I20" s="3">
        <f t="shared" si="1"/>
        <v>0.0205175396131628</v>
      </c>
      <c r="J20" s="3">
        <f t="shared" si="2"/>
        <v>0.91009728279101</v>
      </c>
      <c r="K20" s="3">
        <f t="shared" si="3"/>
        <v>0.0305158613123169</v>
      </c>
      <c r="L20" s="3">
        <f t="shared" si="4"/>
        <v>0.0255167004627399</v>
      </c>
    </row>
    <row r="21" spans="1:12">
      <c r="A21" s="1">
        <v>2016</v>
      </c>
      <c r="B21" s="1">
        <v>8</v>
      </c>
      <c r="C21" s="2">
        <v>122380</v>
      </c>
      <c r="D21" s="6">
        <v>293.7</v>
      </c>
      <c r="E21" s="7">
        <v>5677</v>
      </c>
      <c r="F21" s="7">
        <v>3.6</v>
      </c>
      <c r="G21" s="7">
        <v>5327</v>
      </c>
      <c r="H21" s="3">
        <f t="shared" si="0"/>
        <v>0.0200660697722593</v>
      </c>
      <c r="I21" s="3">
        <f t="shared" si="1"/>
        <v>0.0204769619188468</v>
      </c>
      <c r="J21" s="3">
        <f t="shared" si="2"/>
        <v>0.938347718865598</v>
      </c>
      <c r="K21" s="3">
        <f t="shared" si="3"/>
        <v>0.0304405405477134</v>
      </c>
      <c r="L21" s="3">
        <f t="shared" si="4"/>
        <v>0.0254587512332801</v>
      </c>
    </row>
    <row r="22" spans="1:12">
      <c r="A22" s="1">
        <v>2016</v>
      </c>
      <c r="B22" s="1">
        <v>9</v>
      </c>
      <c r="C22" s="2">
        <v>122638</v>
      </c>
      <c r="D22" s="6">
        <v>299.5</v>
      </c>
      <c r="E22" s="7">
        <v>5868</v>
      </c>
      <c r="F22" s="7">
        <v>3.4</v>
      </c>
      <c r="G22" s="7">
        <v>5306</v>
      </c>
      <c r="H22" s="3">
        <f t="shared" si="0"/>
        <v>0.0204192876759788</v>
      </c>
      <c r="I22" s="3">
        <f t="shared" si="1"/>
        <v>0.0208449262210714</v>
      </c>
      <c r="J22" s="3">
        <f t="shared" si="2"/>
        <v>0.904226312201772</v>
      </c>
      <c r="K22" s="3">
        <f t="shared" si="3"/>
        <v>0.0298161949275221</v>
      </c>
      <c r="L22" s="3">
        <f t="shared" si="4"/>
        <v>0.0253305605742968</v>
      </c>
    </row>
    <row r="23" spans="1:12">
      <c r="A23" s="1">
        <v>2016</v>
      </c>
      <c r="B23" s="1">
        <v>10</v>
      </c>
      <c r="C23" s="2">
        <v>122774</v>
      </c>
      <c r="D23" s="6">
        <v>298.1</v>
      </c>
      <c r="E23" s="7">
        <v>5591</v>
      </c>
      <c r="F23" s="7">
        <v>3.5</v>
      </c>
      <c r="G23" s="7">
        <v>5210</v>
      </c>
      <c r="H23" s="3">
        <f t="shared" si="0"/>
        <v>0.0203013253326271</v>
      </c>
      <c r="I23" s="3">
        <f t="shared" si="1"/>
        <v>0.0207220095908773</v>
      </c>
      <c r="J23" s="3">
        <f t="shared" si="2"/>
        <v>0.931854766589161</v>
      </c>
      <c r="K23" s="3">
        <f t="shared" si="3"/>
        <v>0.0297821395079861</v>
      </c>
      <c r="L23" s="3">
        <f t="shared" si="4"/>
        <v>0.0252520745494317</v>
      </c>
    </row>
    <row r="24" spans="1:12">
      <c r="A24" s="1">
        <v>2016</v>
      </c>
      <c r="B24" s="1">
        <v>11</v>
      </c>
      <c r="C24" s="2">
        <v>122912</v>
      </c>
      <c r="D24" s="6">
        <v>299.1</v>
      </c>
      <c r="E24" s="7">
        <v>5971</v>
      </c>
      <c r="F24" s="7">
        <v>3.5</v>
      </c>
      <c r="G24" s="7">
        <v>5308</v>
      </c>
      <c r="H24" s="3">
        <f t="shared" si="0"/>
        <v>0.020346557865801</v>
      </c>
      <c r="I24" s="3">
        <f t="shared" si="1"/>
        <v>0.0207691383408765</v>
      </c>
      <c r="J24" s="3">
        <f t="shared" si="2"/>
        <v>0.888963322726511</v>
      </c>
      <c r="K24" s="3">
        <f t="shared" si="3"/>
        <v>0.0312640179559619</v>
      </c>
      <c r="L24" s="3">
        <f t="shared" si="4"/>
        <v>0.0260165781484192</v>
      </c>
    </row>
    <row r="25" spans="1:12">
      <c r="A25" s="1">
        <v>2016</v>
      </c>
      <c r="B25" s="1">
        <v>12</v>
      </c>
      <c r="C25" s="2">
        <v>123104</v>
      </c>
      <c r="D25" s="6">
        <v>299.8</v>
      </c>
      <c r="E25" s="7">
        <v>5964</v>
      </c>
      <c r="F25" s="7">
        <v>3.5</v>
      </c>
      <c r="G25" s="7">
        <v>5343</v>
      </c>
      <c r="H25" s="3">
        <f t="shared" si="0"/>
        <v>0.0203623681051038</v>
      </c>
      <c r="I25" s="3">
        <f t="shared" si="1"/>
        <v>0.0207856123960012</v>
      </c>
      <c r="J25" s="3">
        <f t="shared" si="2"/>
        <v>0.895875251509054</v>
      </c>
      <c r="K25" s="3">
        <f t="shared" si="3"/>
        <v>0.0310153260630833</v>
      </c>
      <c r="L25" s="3">
        <f t="shared" si="4"/>
        <v>0.0259004692295423</v>
      </c>
    </row>
    <row r="26" spans="1:12">
      <c r="A26" s="1">
        <v>2017</v>
      </c>
      <c r="B26" s="1">
        <v>1</v>
      </c>
      <c r="C26" s="2">
        <v>123323</v>
      </c>
      <c r="D26" s="6">
        <v>299.8</v>
      </c>
      <c r="E26" s="7">
        <v>5617</v>
      </c>
      <c r="F26" s="7">
        <v>3.7</v>
      </c>
      <c r="G26" s="7">
        <v>5499</v>
      </c>
      <c r="H26" s="3">
        <f t="shared" si="0"/>
        <v>0.0203262081137396</v>
      </c>
      <c r="I26" s="3">
        <f t="shared" si="1"/>
        <v>0.0207479349576184</v>
      </c>
      <c r="J26" s="3">
        <f t="shared" si="2"/>
        <v>0.978992344667972</v>
      </c>
      <c r="K26" s="3">
        <f t="shared" si="3"/>
        <v>0.0299736241155219</v>
      </c>
      <c r="L26" s="3">
        <f t="shared" si="4"/>
        <v>0.0253607795365701</v>
      </c>
    </row>
    <row r="27" spans="1:12">
      <c r="A27" s="1">
        <v>2017</v>
      </c>
      <c r="B27" s="1">
        <v>2</v>
      </c>
      <c r="C27" s="2">
        <v>123519</v>
      </c>
      <c r="D27" s="6">
        <v>297.2</v>
      </c>
      <c r="E27" s="7">
        <v>5923</v>
      </c>
      <c r="F27" s="7">
        <v>3.5</v>
      </c>
      <c r="G27" s="7">
        <v>5350</v>
      </c>
      <c r="H27" s="3">
        <f t="shared" si="0"/>
        <v>0.0201179562073521</v>
      </c>
      <c r="I27" s="3">
        <f t="shared" si="1"/>
        <v>0.0205309979244902</v>
      </c>
      <c r="J27" s="3">
        <f t="shared" si="2"/>
        <v>0.903258483876414</v>
      </c>
      <c r="K27" s="3">
        <f t="shared" si="3"/>
        <v>0.0307540101412515</v>
      </c>
      <c r="L27" s="3">
        <f t="shared" si="4"/>
        <v>0.0256425040328709</v>
      </c>
    </row>
    <row r="28" spans="1:12">
      <c r="A28" s="1">
        <v>2017</v>
      </c>
      <c r="B28" s="1">
        <v>3</v>
      </c>
      <c r="C28" s="2">
        <v>123646</v>
      </c>
      <c r="D28" s="6">
        <v>298</v>
      </c>
      <c r="E28" s="7">
        <v>5811</v>
      </c>
      <c r="F28" s="7">
        <v>3.6</v>
      </c>
      <c r="G28" s="7">
        <v>5395</v>
      </c>
      <c r="H28" s="3">
        <f t="shared" si="0"/>
        <v>0.02015139022683</v>
      </c>
      <c r="I28" s="3">
        <f t="shared" si="1"/>
        <v>0.0205658200928559</v>
      </c>
      <c r="J28" s="3">
        <f t="shared" si="2"/>
        <v>0.92841163310962</v>
      </c>
      <c r="K28" s="3">
        <f t="shared" si="3"/>
        <v>0.0307763489534118</v>
      </c>
      <c r="L28" s="3">
        <f t="shared" si="4"/>
        <v>0.0256710845231339</v>
      </c>
    </row>
    <row r="29" spans="1:12">
      <c r="A29" s="1">
        <v>2017</v>
      </c>
      <c r="B29" s="1">
        <v>4</v>
      </c>
      <c r="C29" s="2">
        <v>123837</v>
      </c>
      <c r="D29" s="6">
        <v>296.4</v>
      </c>
      <c r="E29" s="7">
        <v>6091</v>
      </c>
      <c r="F29" s="7">
        <v>3.5</v>
      </c>
      <c r="G29" s="7">
        <v>5272</v>
      </c>
      <c r="H29" s="3">
        <f t="shared" si="0"/>
        <v>0.0200122812210019</v>
      </c>
      <c r="I29" s="3">
        <f t="shared" si="1"/>
        <v>0.0204209510359334</v>
      </c>
      <c r="J29" s="3">
        <f t="shared" si="2"/>
        <v>0.865539320308652</v>
      </c>
      <c r="K29" s="3">
        <f t="shared" si="3"/>
        <v>0.0321373040978876</v>
      </c>
      <c r="L29" s="3">
        <f t="shared" si="4"/>
        <v>0.0262791275669105</v>
      </c>
    </row>
    <row r="30" spans="1:12">
      <c r="A30" s="1">
        <v>2017</v>
      </c>
      <c r="B30" s="1">
        <v>5</v>
      </c>
      <c r="C30" s="2">
        <v>124042</v>
      </c>
      <c r="D30" s="6">
        <v>297.3</v>
      </c>
      <c r="E30" s="7">
        <v>5826</v>
      </c>
      <c r="F30" s="7">
        <v>3.6</v>
      </c>
      <c r="G30" s="7">
        <v>5477</v>
      </c>
      <c r="H30" s="3">
        <f t="shared" si="0"/>
        <v>0.0200398732137281</v>
      </c>
      <c r="I30" s="3">
        <f t="shared" si="1"/>
        <v>0.0204496822533462</v>
      </c>
      <c r="J30" s="3">
        <f t="shared" si="2"/>
        <v>0.940096120837624</v>
      </c>
      <c r="K30" s="3">
        <f t="shared" si="3"/>
        <v>0.0303822068189938</v>
      </c>
      <c r="L30" s="3">
        <f t="shared" si="4"/>
        <v>0.02541594453617</v>
      </c>
    </row>
    <row r="31" spans="1:12">
      <c r="A31" s="1">
        <v>2017</v>
      </c>
      <c r="B31" s="1">
        <v>6</v>
      </c>
      <c r="C31" s="2">
        <v>124228</v>
      </c>
      <c r="D31" s="6">
        <v>295</v>
      </c>
      <c r="E31" s="7">
        <v>6305</v>
      </c>
      <c r="F31" s="7">
        <v>3.7</v>
      </c>
      <c r="G31" s="7">
        <v>5635</v>
      </c>
      <c r="H31" s="3">
        <f t="shared" si="0"/>
        <v>0.01985506636142</v>
      </c>
      <c r="I31" s="3">
        <f t="shared" si="1"/>
        <v>0.0202572759190953</v>
      </c>
      <c r="J31" s="3">
        <f t="shared" si="2"/>
        <v>0.893735130848533</v>
      </c>
      <c r="K31" s="3">
        <f t="shared" si="3"/>
        <v>0.0329270850354977</v>
      </c>
      <c r="L31" s="3">
        <f t="shared" si="4"/>
        <v>0.0265921804772965</v>
      </c>
    </row>
    <row r="32" spans="1:12">
      <c r="A32" s="1">
        <v>2017</v>
      </c>
      <c r="B32" s="1">
        <v>7</v>
      </c>
      <c r="C32" s="2">
        <v>124398</v>
      </c>
      <c r="D32" s="6">
        <v>294.5</v>
      </c>
      <c r="E32" s="7">
        <v>6238</v>
      </c>
      <c r="F32" s="7">
        <v>3.6</v>
      </c>
      <c r="G32" s="7">
        <v>5497</v>
      </c>
      <c r="H32" s="3">
        <f t="shared" si="0"/>
        <v>0.0197943261301613</v>
      </c>
      <c r="I32" s="3">
        <f t="shared" si="1"/>
        <v>0.0201940538173111</v>
      </c>
      <c r="J32" s="3">
        <f t="shared" si="2"/>
        <v>0.881211926899647</v>
      </c>
      <c r="K32" s="3">
        <f t="shared" si="3"/>
        <v>0.0324783388411116</v>
      </c>
      <c r="L32" s="3">
        <f t="shared" si="4"/>
        <v>0.0263361963292114</v>
      </c>
    </row>
    <row r="33" spans="1:12">
      <c r="A33" s="1">
        <v>2017</v>
      </c>
      <c r="B33" s="1">
        <v>8</v>
      </c>
      <c r="C33" s="2">
        <v>124597</v>
      </c>
      <c r="D33" s="6">
        <v>292.2</v>
      </c>
      <c r="E33" s="7">
        <v>6276</v>
      </c>
      <c r="F33" s="7">
        <v>3.6</v>
      </c>
      <c r="G33" s="7">
        <v>5519</v>
      </c>
      <c r="H33" s="3">
        <f t="shared" si="0"/>
        <v>0.0196083678797164</v>
      </c>
      <c r="I33" s="3">
        <f t="shared" si="1"/>
        <v>0.0200005459423492</v>
      </c>
      <c r="J33" s="3">
        <f t="shared" si="2"/>
        <v>0.879381771829191</v>
      </c>
      <c r="K33" s="3">
        <f t="shared" si="3"/>
        <v>0.0325481322714101</v>
      </c>
      <c r="L33" s="3">
        <f t="shared" si="4"/>
        <v>0.0262743391068797</v>
      </c>
    </row>
    <row r="34" spans="1:12">
      <c r="A34" s="1">
        <v>2017</v>
      </c>
      <c r="B34" s="1">
        <v>9</v>
      </c>
      <c r="C34" s="2">
        <v>124666</v>
      </c>
      <c r="D34" s="6">
        <v>288.9</v>
      </c>
      <c r="E34" s="7">
        <v>6320</v>
      </c>
      <c r="F34" s="7">
        <v>3.6</v>
      </c>
      <c r="G34" s="7">
        <v>5450</v>
      </c>
      <c r="H34" s="3">
        <f t="shared" si="0"/>
        <v>0.0193761878897605</v>
      </c>
      <c r="I34" s="3">
        <f t="shared" si="1"/>
        <v>0.0197590428158829</v>
      </c>
      <c r="J34" s="3">
        <f t="shared" si="2"/>
        <v>0.862341772151899</v>
      </c>
      <c r="K34" s="3">
        <f t="shared" si="3"/>
        <v>0.0332126490404507</v>
      </c>
      <c r="L34" s="3">
        <f t="shared" si="4"/>
        <v>0.0264858459281668</v>
      </c>
    </row>
    <row r="35" spans="1:12">
      <c r="A35" s="1">
        <v>2017</v>
      </c>
      <c r="B35" s="1">
        <v>10</v>
      </c>
      <c r="C35" s="2">
        <v>124786</v>
      </c>
      <c r="D35" s="6">
        <v>288.9</v>
      </c>
      <c r="E35" s="7">
        <v>6408</v>
      </c>
      <c r="F35" s="7">
        <v>3.7</v>
      </c>
      <c r="G35" s="7">
        <v>5581</v>
      </c>
      <c r="H35" s="3">
        <f t="shared" ref="H35:H66" si="5">D35/C35/0.00299*0.025</f>
        <v>0.0193575548496216</v>
      </c>
      <c r="I35" s="3">
        <f t="shared" ref="I35:I66" si="6">H35/(1-H35)</f>
        <v>0.0197396665271338</v>
      </c>
      <c r="J35" s="3">
        <f t="shared" ref="J35:J66" si="7">G35/E35</f>
        <v>0.870942571785268</v>
      </c>
      <c r="K35" s="3">
        <f t="shared" ref="K35:K66" si="8">0.77*F35/100/(J35-0.77*F35/100)</f>
        <v>0.0338179275061454</v>
      </c>
      <c r="L35" s="3">
        <f t="shared" ref="L35:L66" si="9">AVERAGE(I35,K35)</f>
        <v>0.0267787970166396</v>
      </c>
    </row>
    <row r="36" spans="1:12">
      <c r="A36" s="1">
        <v>2017</v>
      </c>
      <c r="B36" s="1">
        <v>11</v>
      </c>
      <c r="C36" s="2">
        <v>124998</v>
      </c>
      <c r="D36" s="6">
        <v>286.8</v>
      </c>
      <c r="E36" s="7">
        <v>6271</v>
      </c>
      <c r="F36" s="7">
        <v>3.6</v>
      </c>
      <c r="G36" s="7">
        <v>5494</v>
      </c>
      <c r="H36" s="3">
        <f t="shared" si="5"/>
        <v>0.0191842534363493</v>
      </c>
      <c r="I36" s="3">
        <f t="shared" si="6"/>
        <v>0.0195594876036223</v>
      </c>
      <c r="J36" s="3">
        <f t="shared" si="7"/>
        <v>0.876096316376973</v>
      </c>
      <c r="K36" s="3">
        <f t="shared" si="8"/>
        <v>0.0326741794471343</v>
      </c>
      <c r="L36" s="3">
        <f t="shared" si="9"/>
        <v>0.0261168335253783</v>
      </c>
    </row>
    <row r="37" spans="1:12">
      <c r="A37" s="1">
        <v>2017</v>
      </c>
      <c r="B37" s="1">
        <v>12</v>
      </c>
      <c r="C37" s="2">
        <v>125137</v>
      </c>
      <c r="D37" s="6">
        <v>288.6</v>
      </c>
      <c r="E37" s="7">
        <v>6336</v>
      </c>
      <c r="F37" s="7">
        <v>3.6</v>
      </c>
      <c r="G37" s="7">
        <v>5421</v>
      </c>
      <c r="H37" s="3">
        <f t="shared" si="5"/>
        <v>0.0192832134241741</v>
      </c>
      <c r="I37" s="3">
        <f t="shared" si="6"/>
        <v>0.019662367044314</v>
      </c>
      <c r="J37" s="3">
        <f t="shared" si="7"/>
        <v>0.855587121212121</v>
      </c>
      <c r="K37" s="3">
        <f t="shared" si="8"/>
        <v>0.0334836343777173</v>
      </c>
      <c r="L37" s="3">
        <f t="shared" si="9"/>
        <v>0.0265730007110156</v>
      </c>
    </row>
    <row r="38" spans="1:12">
      <c r="A38" s="1">
        <v>2018</v>
      </c>
      <c r="B38" s="1">
        <v>1</v>
      </c>
      <c r="C38" s="2">
        <v>125296</v>
      </c>
      <c r="D38" s="6">
        <v>288</v>
      </c>
      <c r="E38" s="7">
        <v>6621</v>
      </c>
      <c r="F38" s="7">
        <v>3.6</v>
      </c>
      <c r="G38" s="7">
        <v>5512</v>
      </c>
      <c r="H38" s="3">
        <f t="shared" si="5"/>
        <v>0.0192187041553828</v>
      </c>
      <c r="I38" s="3">
        <f t="shared" si="6"/>
        <v>0.0195953004373236</v>
      </c>
      <c r="J38" s="3">
        <f t="shared" si="7"/>
        <v>0.832502643105271</v>
      </c>
      <c r="K38" s="3">
        <f t="shared" si="8"/>
        <v>0.0344440828060627</v>
      </c>
      <c r="L38" s="3">
        <f t="shared" si="9"/>
        <v>0.0270196916216932</v>
      </c>
    </row>
    <row r="39" spans="1:12">
      <c r="A39" s="1">
        <v>2018</v>
      </c>
      <c r="B39" s="1">
        <v>2</v>
      </c>
      <c r="C39" s="2">
        <v>125639</v>
      </c>
      <c r="D39" s="6">
        <v>290.4</v>
      </c>
      <c r="E39" s="7">
        <v>6552</v>
      </c>
      <c r="F39" s="7">
        <v>3.6</v>
      </c>
      <c r="G39" s="7">
        <v>5624</v>
      </c>
      <c r="H39" s="3">
        <f t="shared" si="5"/>
        <v>0.0193259548825202</v>
      </c>
      <c r="I39" s="3">
        <f t="shared" si="6"/>
        <v>0.0197068077601717</v>
      </c>
      <c r="J39" s="3">
        <f t="shared" si="7"/>
        <v>0.858363858363858</v>
      </c>
      <c r="K39" s="3">
        <f t="shared" si="8"/>
        <v>0.0333717028313444</v>
      </c>
      <c r="L39" s="3">
        <f t="shared" si="9"/>
        <v>0.0265392552957581</v>
      </c>
    </row>
    <row r="40" spans="1:12">
      <c r="A40" s="1">
        <v>2018</v>
      </c>
      <c r="B40" s="1">
        <v>3</v>
      </c>
      <c r="C40" s="2">
        <v>125854</v>
      </c>
      <c r="D40" s="6">
        <v>289.8</v>
      </c>
      <c r="E40" s="7">
        <v>6818</v>
      </c>
      <c r="F40" s="7">
        <v>3.7</v>
      </c>
      <c r="G40" s="7">
        <v>5623</v>
      </c>
      <c r="H40" s="3">
        <f t="shared" si="5"/>
        <v>0.0192530783533056</v>
      </c>
      <c r="I40" s="3">
        <f t="shared" si="6"/>
        <v>0.0196310362320376</v>
      </c>
      <c r="J40" s="3">
        <f t="shared" si="7"/>
        <v>0.824728659430918</v>
      </c>
      <c r="K40" s="3">
        <f t="shared" si="8"/>
        <v>0.03578072938629</v>
      </c>
      <c r="L40" s="3">
        <f t="shared" si="9"/>
        <v>0.0277058828091638</v>
      </c>
    </row>
    <row r="41" spans="1:12">
      <c r="A41" s="1">
        <v>2018</v>
      </c>
      <c r="B41" s="1">
        <v>4</v>
      </c>
      <c r="C41" s="2">
        <v>125982</v>
      </c>
      <c r="D41" s="6">
        <v>297.8</v>
      </c>
      <c r="E41" s="7">
        <v>6877</v>
      </c>
      <c r="F41" s="7">
        <v>3.7</v>
      </c>
      <c r="G41" s="7">
        <v>5590</v>
      </c>
      <c r="H41" s="3">
        <f t="shared" si="5"/>
        <v>0.0197644628215455</v>
      </c>
      <c r="I41" s="3">
        <f t="shared" si="6"/>
        <v>0.0201629731548361</v>
      </c>
      <c r="J41" s="3">
        <f t="shared" si="7"/>
        <v>0.812854442344045</v>
      </c>
      <c r="K41" s="3">
        <f t="shared" si="8"/>
        <v>0.0363224012486576</v>
      </c>
      <c r="L41" s="3">
        <f t="shared" si="9"/>
        <v>0.0282426872017469</v>
      </c>
    </row>
    <row r="42" spans="1:12">
      <c r="A42" s="1">
        <v>2018</v>
      </c>
      <c r="B42" s="1">
        <v>5</v>
      </c>
      <c r="C42" s="2">
        <v>126306</v>
      </c>
      <c r="D42" s="6">
        <v>295.5</v>
      </c>
      <c r="E42" s="7">
        <v>7016</v>
      </c>
      <c r="F42" s="7">
        <v>3.7</v>
      </c>
      <c r="G42" s="7">
        <v>5859</v>
      </c>
      <c r="H42" s="3">
        <f t="shared" si="5"/>
        <v>0.0195615076556393</v>
      </c>
      <c r="I42" s="3">
        <f t="shared" si="6"/>
        <v>0.0199517948432085</v>
      </c>
      <c r="J42" s="3">
        <f t="shared" si="7"/>
        <v>0.835091220068415</v>
      </c>
      <c r="K42" s="3">
        <f t="shared" si="8"/>
        <v>0.0353210474905846</v>
      </c>
      <c r="L42" s="3">
        <f t="shared" si="9"/>
        <v>0.0276364211668966</v>
      </c>
    </row>
    <row r="43" spans="1:12">
      <c r="A43" s="1">
        <v>2018</v>
      </c>
      <c r="B43" s="1">
        <v>6</v>
      </c>
      <c r="C43" s="2">
        <v>126484</v>
      </c>
      <c r="D43" s="6">
        <v>295.6</v>
      </c>
      <c r="E43" s="7">
        <v>7230</v>
      </c>
      <c r="F43" s="7">
        <v>3.7</v>
      </c>
      <c r="G43" s="7">
        <v>5760</v>
      </c>
      <c r="H43" s="3">
        <f t="shared" si="5"/>
        <v>0.0195405893737905</v>
      </c>
      <c r="I43" s="3">
        <f t="shared" si="6"/>
        <v>0.0199300339840791</v>
      </c>
      <c r="J43" s="3">
        <f t="shared" si="7"/>
        <v>0.796680497925311</v>
      </c>
      <c r="K43" s="3">
        <f t="shared" si="8"/>
        <v>0.0370871549139755</v>
      </c>
      <c r="L43" s="3">
        <f t="shared" si="9"/>
        <v>0.0285085944490273</v>
      </c>
    </row>
    <row r="44" spans="1:12">
      <c r="A44" s="1">
        <v>2018</v>
      </c>
      <c r="B44" s="1">
        <v>7</v>
      </c>
      <c r="C44" s="2">
        <v>126586</v>
      </c>
      <c r="D44" s="6">
        <v>294.9</v>
      </c>
      <c r="E44" s="7">
        <v>7190</v>
      </c>
      <c r="F44" s="7">
        <v>3.7</v>
      </c>
      <c r="G44" s="7">
        <v>5649</v>
      </c>
      <c r="H44" s="3">
        <f t="shared" si="5"/>
        <v>0.0194786079309335</v>
      </c>
      <c r="I44" s="3">
        <f t="shared" si="6"/>
        <v>0.0198655614130257</v>
      </c>
      <c r="J44" s="3">
        <f t="shared" si="7"/>
        <v>0.78567454798331</v>
      </c>
      <c r="K44" s="3">
        <f t="shared" si="8"/>
        <v>0.0376262300596076</v>
      </c>
      <c r="L44" s="3">
        <f t="shared" si="9"/>
        <v>0.0287458957363167</v>
      </c>
    </row>
    <row r="45" spans="1:12">
      <c r="A45" s="1">
        <v>2018</v>
      </c>
      <c r="B45" s="1">
        <v>8</v>
      </c>
      <c r="C45" s="2">
        <v>126804</v>
      </c>
      <c r="D45" s="6">
        <v>295.6</v>
      </c>
      <c r="E45" s="7">
        <v>7208</v>
      </c>
      <c r="F45" s="7">
        <v>3.7</v>
      </c>
      <c r="G45" s="7">
        <v>5815</v>
      </c>
      <c r="H45" s="3">
        <f t="shared" si="5"/>
        <v>0.0194912771391637</v>
      </c>
      <c r="I45" s="3">
        <f t="shared" si="6"/>
        <v>0.0198787391531754</v>
      </c>
      <c r="J45" s="3">
        <f t="shared" si="7"/>
        <v>0.806742508324084</v>
      </c>
      <c r="K45" s="3">
        <f t="shared" si="8"/>
        <v>0.0366076558639706</v>
      </c>
      <c r="L45" s="3">
        <f t="shared" si="9"/>
        <v>0.028243197508573</v>
      </c>
    </row>
    <row r="46" spans="1:12">
      <c r="A46" s="1">
        <v>2018</v>
      </c>
      <c r="B46" s="1">
        <v>9</v>
      </c>
      <c r="C46" s="2">
        <v>126887</v>
      </c>
      <c r="D46" s="6">
        <v>296.5</v>
      </c>
      <c r="E46" s="7">
        <v>7411</v>
      </c>
      <c r="F46" s="7">
        <v>3.7</v>
      </c>
      <c r="G46" s="7">
        <v>5625</v>
      </c>
      <c r="H46" s="3">
        <f t="shared" si="5"/>
        <v>0.0195378327958463</v>
      </c>
      <c r="I46" s="3">
        <f t="shared" si="6"/>
        <v>0.0199271664418829</v>
      </c>
      <c r="J46" s="3">
        <f t="shared" si="7"/>
        <v>0.759006881662394</v>
      </c>
      <c r="K46" s="3">
        <f t="shared" si="8"/>
        <v>0.0389997831879901</v>
      </c>
      <c r="L46" s="3">
        <f t="shared" si="9"/>
        <v>0.0294634748149365</v>
      </c>
    </row>
    <row r="47" spans="1:12">
      <c r="A47" s="1">
        <v>2018</v>
      </c>
      <c r="B47" s="1">
        <v>10</v>
      </c>
      <c r="C47" s="2">
        <v>127047</v>
      </c>
      <c r="D47" s="6">
        <v>291.3</v>
      </c>
      <c r="E47" s="7">
        <v>7304</v>
      </c>
      <c r="F47" s="7">
        <v>3.7</v>
      </c>
      <c r="G47" s="7">
        <v>5907</v>
      </c>
      <c r="H47" s="3">
        <f t="shared" si="5"/>
        <v>0.0191710054475666</v>
      </c>
      <c r="I47" s="3">
        <f t="shared" si="6"/>
        <v>0.0195457164847727</v>
      </c>
      <c r="J47" s="3">
        <f t="shared" si="7"/>
        <v>0.808734939759036</v>
      </c>
      <c r="K47" s="3">
        <f t="shared" si="8"/>
        <v>0.0365141746498203</v>
      </c>
      <c r="L47" s="3">
        <f t="shared" si="9"/>
        <v>0.0280299455672965</v>
      </c>
    </row>
    <row r="48" spans="1:12">
      <c r="A48" s="1">
        <v>2018</v>
      </c>
      <c r="B48" s="1">
        <v>11</v>
      </c>
      <c r="C48" s="2">
        <v>127149</v>
      </c>
      <c r="D48" s="6">
        <v>288.4</v>
      </c>
      <c r="E48" s="7">
        <v>7594</v>
      </c>
      <c r="F48" s="7">
        <v>3.9</v>
      </c>
      <c r="G48" s="7">
        <v>5826</v>
      </c>
      <c r="H48" s="3">
        <f t="shared" si="5"/>
        <v>0.0189649249106025</v>
      </c>
      <c r="I48" s="3">
        <f t="shared" si="6"/>
        <v>0.0193315462333233</v>
      </c>
      <c r="J48" s="3">
        <f t="shared" si="7"/>
        <v>0.767184619436397</v>
      </c>
      <c r="K48" s="3">
        <f t="shared" si="8"/>
        <v>0.0407377220574971</v>
      </c>
      <c r="L48" s="3">
        <f t="shared" si="9"/>
        <v>0.0300346341454102</v>
      </c>
    </row>
    <row r="49" spans="1:12">
      <c r="A49" s="1">
        <v>2018</v>
      </c>
      <c r="B49" s="1">
        <v>12</v>
      </c>
      <c r="C49" s="2">
        <v>127294</v>
      </c>
      <c r="D49" s="6">
        <v>288.5</v>
      </c>
      <c r="E49" s="7">
        <v>7489</v>
      </c>
      <c r="F49" s="7">
        <v>3.7</v>
      </c>
      <c r="G49" s="7">
        <v>5768</v>
      </c>
      <c r="H49" s="3">
        <f t="shared" si="5"/>
        <v>0.0189498904729173</v>
      </c>
      <c r="I49" s="3">
        <f t="shared" si="6"/>
        <v>0.0193159251386783</v>
      </c>
      <c r="J49" s="3">
        <f t="shared" si="7"/>
        <v>0.770196287888904</v>
      </c>
      <c r="K49" s="3">
        <f t="shared" si="8"/>
        <v>0.0384114311354839</v>
      </c>
      <c r="L49" s="3">
        <f t="shared" si="9"/>
        <v>0.0288636781370811</v>
      </c>
    </row>
    <row r="50" spans="1:12">
      <c r="A50" s="1">
        <v>2019</v>
      </c>
      <c r="B50" s="1">
        <v>1</v>
      </c>
      <c r="C50" s="2">
        <v>127590</v>
      </c>
      <c r="D50" s="6">
        <v>290.4</v>
      </c>
      <c r="E50" s="7">
        <v>7517</v>
      </c>
      <c r="F50" s="7">
        <v>3.7</v>
      </c>
      <c r="G50" s="7">
        <v>5814</v>
      </c>
      <c r="H50" s="3">
        <f t="shared" si="5"/>
        <v>0.0190304384786029</v>
      </c>
      <c r="I50" s="3">
        <f t="shared" si="6"/>
        <v>0.0193996217875389</v>
      </c>
      <c r="J50" s="3">
        <f t="shared" si="7"/>
        <v>0.773446853798058</v>
      </c>
      <c r="K50" s="3">
        <f t="shared" si="8"/>
        <v>0.038243825605131</v>
      </c>
      <c r="L50" s="3">
        <f t="shared" si="9"/>
        <v>0.0288217236963349</v>
      </c>
    </row>
    <row r="51" spans="1:12">
      <c r="A51" s="1">
        <v>2019</v>
      </c>
      <c r="B51" s="1">
        <v>2</v>
      </c>
      <c r="C51" s="2">
        <v>127556</v>
      </c>
      <c r="D51" s="6">
        <v>289.8</v>
      </c>
      <c r="E51" s="7">
        <v>7072</v>
      </c>
      <c r="F51" s="7">
        <v>3.8</v>
      </c>
      <c r="G51" s="7">
        <v>5680</v>
      </c>
      <c r="H51" s="3">
        <f t="shared" si="5"/>
        <v>0.0189961814659986</v>
      </c>
      <c r="I51" s="3">
        <f t="shared" si="6"/>
        <v>0.0193640239794237</v>
      </c>
      <c r="J51" s="3">
        <f t="shared" si="7"/>
        <v>0.80316742081448</v>
      </c>
      <c r="K51" s="3">
        <f t="shared" si="8"/>
        <v>0.0378081398537386</v>
      </c>
      <c r="L51" s="3">
        <f t="shared" si="9"/>
        <v>0.0285860819165812</v>
      </c>
    </row>
    <row r="52" spans="1:12">
      <c r="A52" s="1">
        <v>2019</v>
      </c>
      <c r="B52" s="1">
        <v>3</v>
      </c>
      <c r="C52" s="2">
        <v>127747</v>
      </c>
      <c r="D52" s="6">
        <v>290.9</v>
      </c>
      <c r="E52" s="7">
        <v>7337</v>
      </c>
      <c r="F52" s="7">
        <v>3.7</v>
      </c>
      <c r="G52" s="7">
        <v>5698</v>
      </c>
      <c r="H52" s="3">
        <f t="shared" si="5"/>
        <v>0.0190397758655126</v>
      </c>
      <c r="I52" s="3">
        <f t="shared" si="6"/>
        <v>0.0194093250644404</v>
      </c>
      <c r="J52" s="3">
        <f t="shared" si="7"/>
        <v>0.776611694152924</v>
      </c>
      <c r="K52" s="3">
        <f t="shared" si="8"/>
        <v>0.0380820396235915</v>
      </c>
      <c r="L52" s="3">
        <f t="shared" si="9"/>
        <v>0.0287456823440159</v>
      </c>
    </row>
    <row r="53" spans="1:12">
      <c r="A53" s="1">
        <v>2019</v>
      </c>
      <c r="B53" s="1">
        <v>4</v>
      </c>
      <c r="C53" s="2">
        <v>127953</v>
      </c>
      <c r="D53" s="6">
        <v>293.8</v>
      </c>
      <c r="E53" s="7">
        <v>7191</v>
      </c>
      <c r="F53" s="7">
        <v>3.8</v>
      </c>
      <c r="G53" s="7">
        <v>6011</v>
      </c>
      <c r="H53" s="3">
        <f t="shared" si="5"/>
        <v>0.0191986255822875</v>
      </c>
      <c r="I53" s="3">
        <f t="shared" si="6"/>
        <v>0.0195744276905051</v>
      </c>
      <c r="J53" s="3">
        <f t="shared" si="7"/>
        <v>0.835905993603115</v>
      </c>
      <c r="K53" s="3">
        <f t="shared" si="8"/>
        <v>0.036273656885472</v>
      </c>
      <c r="L53" s="3">
        <f t="shared" si="9"/>
        <v>0.0279240422879885</v>
      </c>
    </row>
    <row r="54" spans="1:12">
      <c r="A54" s="1">
        <v>2019</v>
      </c>
      <c r="B54" s="1">
        <v>5</v>
      </c>
      <c r="C54" s="2">
        <v>128061</v>
      </c>
      <c r="D54" s="6">
        <v>293.6</v>
      </c>
      <c r="E54" s="7">
        <v>7311</v>
      </c>
      <c r="F54" s="7">
        <v>3.7</v>
      </c>
      <c r="G54" s="7">
        <v>5725</v>
      </c>
      <c r="H54" s="3">
        <f t="shared" si="5"/>
        <v>0.0191693762997927</v>
      </c>
      <c r="I54" s="3">
        <f t="shared" si="6"/>
        <v>0.0195440230316992</v>
      </c>
      <c r="J54" s="3">
        <f t="shared" si="7"/>
        <v>0.783066611954589</v>
      </c>
      <c r="K54" s="3">
        <f t="shared" si="8"/>
        <v>0.0377562722573683</v>
      </c>
      <c r="L54" s="3">
        <f t="shared" si="9"/>
        <v>0.0286501476445337</v>
      </c>
    </row>
    <row r="55" spans="1:12">
      <c r="A55" s="1">
        <v>2019</v>
      </c>
      <c r="B55" s="1">
        <v>6</v>
      </c>
      <c r="C55" s="2">
        <v>128220</v>
      </c>
      <c r="D55" s="6">
        <v>293.3</v>
      </c>
      <c r="E55" s="7">
        <v>7139</v>
      </c>
      <c r="F55" s="7">
        <v>3.7</v>
      </c>
      <c r="G55" s="7">
        <v>5768</v>
      </c>
      <c r="H55" s="3">
        <f t="shared" si="5"/>
        <v>0.0191260422486644</v>
      </c>
      <c r="I55" s="3">
        <f t="shared" si="6"/>
        <v>0.0194989805749467</v>
      </c>
      <c r="J55" s="3">
        <f t="shared" si="7"/>
        <v>0.807956296400056</v>
      </c>
      <c r="K55" s="3">
        <f t="shared" si="8"/>
        <v>0.0365506502738865</v>
      </c>
      <c r="L55" s="3">
        <f t="shared" si="9"/>
        <v>0.0280248154244166</v>
      </c>
    </row>
    <row r="56" spans="1:12">
      <c r="A56" s="1">
        <v>2019</v>
      </c>
      <c r="B56" s="1">
        <v>7</v>
      </c>
      <c r="C56" s="2">
        <v>128337</v>
      </c>
      <c r="D56" s="6">
        <v>293.5</v>
      </c>
      <c r="E56" s="7">
        <v>7051</v>
      </c>
      <c r="F56" s="7">
        <v>3.8</v>
      </c>
      <c r="G56" s="7">
        <v>5886</v>
      </c>
      <c r="H56" s="3">
        <f t="shared" si="5"/>
        <v>0.0191216358332081</v>
      </c>
      <c r="I56" s="3">
        <f t="shared" si="6"/>
        <v>0.0194944006634818</v>
      </c>
      <c r="J56" s="3">
        <f t="shared" si="7"/>
        <v>0.834775209190186</v>
      </c>
      <c r="K56" s="3">
        <f t="shared" si="8"/>
        <v>0.0363245779423782</v>
      </c>
      <c r="L56" s="3">
        <f t="shared" si="9"/>
        <v>0.02790948930293</v>
      </c>
    </row>
    <row r="57" spans="1:12">
      <c r="A57" s="1">
        <v>2019</v>
      </c>
      <c r="B57" s="1">
        <v>8</v>
      </c>
      <c r="C57" s="2">
        <v>128497</v>
      </c>
      <c r="D57" s="6">
        <v>292.2</v>
      </c>
      <c r="E57" s="7">
        <v>7172</v>
      </c>
      <c r="F57" s="7">
        <v>3.7</v>
      </c>
      <c r="G57" s="7">
        <v>5914</v>
      </c>
      <c r="H57" s="3">
        <f t="shared" si="5"/>
        <v>0.0190132362055848</v>
      </c>
      <c r="I57" s="3">
        <f t="shared" si="6"/>
        <v>0.0193817459188159</v>
      </c>
      <c r="J57" s="3">
        <f t="shared" si="7"/>
        <v>0.824595649749024</v>
      </c>
      <c r="K57" s="3">
        <f t="shared" si="8"/>
        <v>0.0357867074665047</v>
      </c>
      <c r="L57" s="3">
        <f t="shared" si="9"/>
        <v>0.0275842266926603</v>
      </c>
    </row>
    <row r="58" spans="1:12">
      <c r="A58" s="1">
        <v>2019</v>
      </c>
      <c r="B58" s="1">
        <v>9</v>
      </c>
      <c r="C58" s="2">
        <v>128673</v>
      </c>
      <c r="D58" s="6">
        <v>293.1</v>
      </c>
      <c r="E58" s="7">
        <v>7160</v>
      </c>
      <c r="F58" s="7">
        <v>3.8</v>
      </c>
      <c r="G58" s="7">
        <v>5973</v>
      </c>
      <c r="H58" s="3">
        <f t="shared" si="5"/>
        <v>0.0190457119700409</v>
      </c>
      <c r="I58" s="3">
        <f t="shared" si="6"/>
        <v>0.0194154938741235</v>
      </c>
      <c r="J58" s="3">
        <f t="shared" si="7"/>
        <v>0.834217877094972</v>
      </c>
      <c r="K58" s="3">
        <f t="shared" si="8"/>
        <v>0.0363497281442813</v>
      </c>
      <c r="L58" s="3">
        <f t="shared" si="9"/>
        <v>0.0278826110092024</v>
      </c>
    </row>
    <row r="59" spans="1:12">
      <c r="A59" s="1">
        <v>2019</v>
      </c>
      <c r="B59" s="1">
        <v>10</v>
      </c>
      <c r="C59" s="2">
        <v>128772</v>
      </c>
      <c r="D59" s="6">
        <v>290.6</v>
      </c>
      <c r="E59" s="7">
        <v>7325</v>
      </c>
      <c r="F59" s="7">
        <v>3.7</v>
      </c>
      <c r="G59" s="7">
        <v>5805</v>
      </c>
      <c r="H59" s="3">
        <f t="shared" si="5"/>
        <v>0.0188687438751252</v>
      </c>
      <c r="I59" s="3">
        <f t="shared" si="6"/>
        <v>0.0192316203946556</v>
      </c>
      <c r="J59" s="3">
        <f t="shared" si="7"/>
        <v>0.792491467576792</v>
      </c>
      <c r="K59" s="3">
        <f t="shared" si="8"/>
        <v>0.037290504284452</v>
      </c>
      <c r="L59" s="3">
        <f t="shared" si="9"/>
        <v>0.0282610623395538</v>
      </c>
    </row>
    <row r="60" spans="1:12">
      <c r="A60" s="1">
        <v>2019</v>
      </c>
      <c r="B60" s="1">
        <v>11</v>
      </c>
      <c r="C60" s="2">
        <v>128948</v>
      </c>
      <c r="D60" s="6">
        <v>289.6</v>
      </c>
      <c r="E60" s="7">
        <v>6919</v>
      </c>
      <c r="F60" s="7">
        <v>3.7</v>
      </c>
      <c r="G60" s="7">
        <v>5868</v>
      </c>
      <c r="H60" s="3">
        <f t="shared" si="5"/>
        <v>0.0187781484185427</v>
      </c>
      <c r="I60" s="3">
        <f t="shared" si="6"/>
        <v>0.0191375155254416</v>
      </c>
      <c r="J60" s="3">
        <f t="shared" si="7"/>
        <v>0.848099436334731</v>
      </c>
      <c r="K60" s="3">
        <f t="shared" si="8"/>
        <v>0.0347604587465543</v>
      </c>
      <c r="L60" s="3">
        <f t="shared" si="9"/>
        <v>0.026948987135998</v>
      </c>
    </row>
    <row r="61" spans="1:12">
      <c r="A61" s="1">
        <v>2019</v>
      </c>
      <c r="B61" s="1">
        <v>12</v>
      </c>
      <c r="C61" s="2">
        <v>129041</v>
      </c>
      <c r="D61" s="6">
        <v>284.1</v>
      </c>
      <c r="E61" s="7">
        <v>6709</v>
      </c>
      <c r="F61" s="7">
        <v>3.8</v>
      </c>
      <c r="G61" s="7">
        <v>5913</v>
      </c>
      <c r="H61" s="3">
        <f t="shared" si="5"/>
        <v>0.0184082428081049</v>
      </c>
      <c r="I61" s="3">
        <f t="shared" si="6"/>
        <v>0.0187534610730296</v>
      </c>
      <c r="J61" s="3">
        <f t="shared" si="7"/>
        <v>0.881353405872708</v>
      </c>
      <c r="K61" s="3">
        <f t="shared" si="8"/>
        <v>0.0343389583798411</v>
      </c>
      <c r="L61" s="3">
        <f t="shared" si="9"/>
        <v>0.0265462097264354</v>
      </c>
    </row>
    <row r="62" spans="1:12">
      <c r="A62" s="1">
        <v>2020</v>
      </c>
      <c r="B62" s="1">
        <v>1</v>
      </c>
      <c r="C62" s="2">
        <v>129315</v>
      </c>
      <c r="D62" s="6">
        <v>280.5</v>
      </c>
      <c r="E62" s="7">
        <v>7184</v>
      </c>
      <c r="F62" s="7">
        <v>3.8</v>
      </c>
      <c r="G62" s="7">
        <v>6014</v>
      </c>
      <c r="H62" s="3">
        <f t="shared" si="5"/>
        <v>0.0181364708328694</v>
      </c>
      <c r="I62" s="3">
        <f t="shared" si="6"/>
        <v>0.018471478259564</v>
      </c>
      <c r="J62" s="3">
        <f t="shared" si="7"/>
        <v>0.837138084632517</v>
      </c>
      <c r="K62" s="3">
        <f t="shared" si="8"/>
        <v>0.0362183361036581</v>
      </c>
      <c r="L62" s="3">
        <f t="shared" si="9"/>
        <v>0.027344907181611</v>
      </c>
    </row>
    <row r="63" spans="1:12">
      <c r="A63" s="1">
        <v>2020</v>
      </c>
      <c r="B63" s="1">
        <v>2</v>
      </c>
      <c r="C63" s="2">
        <v>129500</v>
      </c>
      <c r="D63" s="6">
        <v>279.3</v>
      </c>
      <c r="E63" s="7">
        <v>6995</v>
      </c>
      <c r="F63" s="7">
        <v>3.8</v>
      </c>
      <c r="G63" s="7">
        <v>5998</v>
      </c>
      <c r="H63" s="3">
        <f t="shared" si="5"/>
        <v>0.0180330832504746</v>
      </c>
      <c r="I63" s="3">
        <f t="shared" si="6"/>
        <v>0.0183642472499655</v>
      </c>
      <c r="J63" s="3">
        <f t="shared" si="7"/>
        <v>0.85746962115797</v>
      </c>
      <c r="K63" s="3">
        <f t="shared" si="8"/>
        <v>0.0353292201062453</v>
      </c>
      <c r="L63" s="3">
        <f t="shared" si="9"/>
        <v>0.0268467336781054</v>
      </c>
    </row>
    <row r="64" spans="1:12">
      <c r="A64" s="1">
        <v>2020</v>
      </c>
      <c r="B64" s="1">
        <v>3</v>
      </c>
      <c r="C64" s="2">
        <v>128103</v>
      </c>
      <c r="D64" s="6">
        <v>277.3</v>
      </c>
      <c r="E64" s="7">
        <v>5794</v>
      </c>
      <c r="F64" s="7">
        <v>10.8</v>
      </c>
      <c r="G64" s="7">
        <v>5172</v>
      </c>
      <c r="H64" s="3">
        <f t="shared" si="5"/>
        <v>0.0180992004317596</v>
      </c>
      <c r="I64" s="3">
        <f t="shared" si="6"/>
        <v>0.018432819730586</v>
      </c>
      <c r="J64" s="3">
        <f t="shared" si="7"/>
        <v>0.89264756644805</v>
      </c>
      <c r="K64" s="3">
        <f t="shared" si="8"/>
        <v>0.102731658208041</v>
      </c>
      <c r="L64" s="3">
        <f t="shared" si="9"/>
        <v>0.0605822389693135</v>
      </c>
    </row>
    <row r="65" spans="1:12">
      <c r="A65" s="1">
        <v>2020</v>
      </c>
      <c r="B65" s="1">
        <v>4</v>
      </c>
      <c r="C65" s="2">
        <v>108503</v>
      </c>
      <c r="D65" s="6">
        <v>237.9</v>
      </c>
      <c r="E65" s="7">
        <v>4686</v>
      </c>
      <c r="F65" s="7">
        <v>8.8</v>
      </c>
      <c r="G65" s="7">
        <v>4052</v>
      </c>
      <c r="H65" s="3">
        <f t="shared" si="5"/>
        <v>0.0183324925097242</v>
      </c>
      <c r="I65" s="3">
        <f t="shared" si="6"/>
        <v>0.0186748490398678</v>
      </c>
      <c r="J65" s="3">
        <f t="shared" si="7"/>
        <v>0.864703371745625</v>
      </c>
      <c r="K65" s="3">
        <f t="shared" si="8"/>
        <v>0.0850248617434115</v>
      </c>
      <c r="L65" s="3">
        <f t="shared" si="9"/>
        <v>0.0518498553916397</v>
      </c>
    </row>
    <row r="66" spans="1:12">
      <c r="A66" s="1">
        <v>2020</v>
      </c>
      <c r="B66" s="1">
        <v>5</v>
      </c>
      <c r="C66" s="2">
        <v>111659</v>
      </c>
      <c r="D66" s="6">
        <v>238</v>
      </c>
      <c r="E66" s="7">
        <v>5581</v>
      </c>
      <c r="F66" s="7">
        <v>3.6</v>
      </c>
      <c r="G66" s="7">
        <v>8098</v>
      </c>
      <c r="H66" s="3">
        <f t="shared" si="5"/>
        <v>0.0178218196041873</v>
      </c>
      <c r="I66" s="3">
        <f t="shared" si="6"/>
        <v>0.0181452000868164</v>
      </c>
      <c r="J66" s="3">
        <f t="shared" si="7"/>
        <v>1.45099444543989</v>
      </c>
      <c r="K66" s="3">
        <f t="shared" si="8"/>
        <v>0.0194762156299607</v>
      </c>
      <c r="L66" s="3">
        <f t="shared" si="9"/>
        <v>0.0188107078583886</v>
      </c>
    </row>
    <row r="67" spans="1:12">
      <c r="A67" s="1">
        <v>2020</v>
      </c>
      <c r="B67" s="1">
        <v>6</v>
      </c>
      <c r="C67" s="2">
        <v>116213</v>
      </c>
      <c r="D67" s="6">
        <v>241.7</v>
      </c>
      <c r="E67" s="7">
        <v>6119</v>
      </c>
      <c r="F67" s="7">
        <v>3.8</v>
      </c>
      <c r="G67" s="7">
        <v>7488</v>
      </c>
      <c r="H67" s="3">
        <f t="shared" ref="H67:H94" si="10">D67/C67/0.00299*0.025</f>
        <v>0.0173896466835332</v>
      </c>
      <c r="I67" s="3">
        <f t="shared" ref="I67:I94" si="11">H67/(1-H67)</f>
        <v>0.0176973981851915</v>
      </c>
      <c r="J67" s="3">
        <f t="shared" ref="J67:J94" si="12">G67/E67</f>
        <v>1.22372936754372</v>
      </c>
      <c r="K67" s="3">
        <f t="shared" ref="K67:K94" si="13">0.77*F67/100/(J67-0.77*F67/100)</f>
        <v>0.0244962330513086</v>
      </c>
      <c r="L67" s="3">
        <f t="shared" ref="L67:L94" si="14">AVERAGE(I67,K67)</f>
        <v>0.02109681561825</v>
      </c>
    </row>
    <row r="68" spans="1:12">
      <c r="A68" s="1">
        <v>2020</v>
      </c>
      <c r="B68" s="1">
        <v>7</v>
      </c>
      <c r="C68" s="2">
        <v>117555</v>
      </c>
      <c r="D68" s="6">
        <v>243.2</v>
      </c>
      <c r="E68" s="7">
        <v>6514</v>
      </c>
      <c r="F68" s="7">
        <v>3.7</v>
      </c>
      <c r="G68" s="7">
        <v>6255</v>
      </c>
      <c r="H68" s="3">
        <f t="shared" si="10"/>
        <v>0.0172978164778488</v>
      </c>
      <c r="I68" s="3">
        <f t="shared" si="11"/>
        <v>0.0176022977946898</v>
      </c>
      <c r="J68" s="3">
        <f t="shared" si="12"/>
        <v>0.960239484187903</v>
      </c>
      <c r="K68" s="3">
        <f t="shared" si="13"/>
        <v>0.0305768884056119</v>
      </c>
      <c r="L68" s="3">
        <f t="shared" si="14"/>
        <v>0.0240895931001509</v>
      </c>
    </row>
    <row r="69" spans="1:12">
      <c r="A69" s="1">
        <v>2020</v>
      </c>
      <c r="B69" s="1">
        <v>8</v>
      </c>
      <c r="C69" s="2">
        <v>118788</v>
      </c>
      <c r="D69" s="6">
        <v>248.2</v>
      </c>
      <c r="E69" s="7">
        <v>6360</v>
      </c>
      <c r="F69" s="1">
        <v>3.5</v>
      </c>
      <c r="G69" s="7">
        <v>5938</v>
      </c>
      <c r="H69" s="3">
        <f t="shared" si="10"/>
        <v>0.0174702060487625</v>
      </c>
      <c r="I69" s="3">
        <f t="shared" si="11"/>
        <v>0.0177808410048373</v>
      </c>
      <c r="J69" s="3">
        <f t="shared" si="12"/>
        <v>0.933647798742138</v>
      </c>
      <c r="K69" s="3">
        <f t="shared" si="13"/>
        <v>0.0297232441033691</v>
      </c>
      <c r="L69" s="3">
        <f t="shared" si="14"/>
        <v>0.0237520425541032</v>
      </c>
    </row>
    <row r="70" spans="1:12">
      <c r="A70" s="1">
        <v>2020</v>
      </c>
      <c r="B70" s="1">
        <v>9</v>
      </c>
      <c r="C70" s="2">
        <v>119841</v>
      </c>
      <c r="D70" s="6">
        <v>251</v>
      </c>
      <c r="E70" s="7">
        <v>6512</v>
      </c>
      <c r="F70" s="1">
        <v>3.6</v>
      </c>
      <c r="G70" s="7">
        <v>5949</v>
      </c>
      <c r="H70" s="3">
        <f t="shared" si="10"/>
        <v>0.0175120552011237</v>
      </c>
      <c r="I70" s="3">
        <f t="shared" si="11"/>
        <v>0.0178241934609269</v>
      </c>
      <c r="J70" s="3">
        <f t="shared" si="12"/>
        <v>0.913544226044226</v>
      </c>
      <c r="K70" s="3">
        <f t="shared" si="13"/>
        <v>0.031292889926693</v>
      </c>
      <c r="L70" s="3">
        <f t="shared" si="14"/>
        <v>0.02455854169381</v>
      </c>
    </row>
    <row r="71" spans="1:12">
      <c r="A71" s="1">
        <v>2020</v>
      </c>
      <c r="B71" s="1">
        <v>10</v>
      </c>
      <c r="C71" s="2">
        <v>120712</v>
      </c>
      <c r="D71" s="6">
        <v>256.1</v>
      </c>
      <c r="E71" s="7">
        <v>6820</v>
      </c>
      <c r="F71" s="1">
        <v>3.8</v>
      </c>
      <c r="G71" s="7">
        <v>6135</v>
      </c>
      <c r="H71" s="3">
        <f t="shared" si="10"/>
        <v>0.0177389517846286</v>
      </c>
      <c r="I71" s="3">
        <f t="shared" si="11"/>
        <v>0.0180593049239382</v>
      </c>
      <c r="J71" s="3">
        <f t="shared" si="12"/>
        <v>0.899560117302053</v>
      </c>
      <c r="K71" s="3">
        <f t="shared" si="13"/>
        <v>0.033620586069443</v>
      </c>
      <c r="L71" s="3">
        <f t="shared" si="14"/>
        <v>0.0258399454966906</v>
      </c>
    </row>
    <row r="72" spans="1:12">
      <c r="A72" s="1">
        <v>2020</v>
      </c>
      <c r="B72" s="1">
        <v>11</v>
      </c>
      <c r="C72" s="2">
        <v>121062</v>
      </c>
      <c r="D72" s="6">
        <v>260.1</v>
      </c>
      <c r="E72" s="7">
        <v>6875</v>
      </c>
      <c r="F72" s="1">
        <v>4</v>
      </c>
      <c r="G72" s="7">
        <v>5906</v>
      </c>
      <c r="H72" s="3">
        <f t="shared" si="10"/>
        <v>0.017963928927984</v>
      </c>
      <c r="I72" s="3">
        <f t="shared" si="11"/>
        <v>0.0182925347216362</v>
      </c>
      <c r="J72" s="3">
        <f t="shared" si="12"/>
        <v>0.859054545454545</v>
      </c>
      <c r="K72" s="3">
        <f t="shared" si="13"/>
        <v>0.037186635641217</v>
      </c>
      <c r="L72" s="3">
        <f t="shared" si="14"/>
        <v>0.0277395851814266</v>
      </c>
    </row>
    <row r="73" spans="1:12">
      <c r="A73" s="1">
        <v>2020</v>
      </c>
      <c r="B73" s="1">
        <v>12</v>
      </c>
      <c r="C73" s="2">
        <v>120804</v>
      </c>
      <c r="D73" s="6">
        <v>267.1</v>
      </c>
      <c r="E73" s="7">
        <v>6854</v>
      </c>
      <c r="F73" s="1">
        <v>4</v>
      </c>
      <c r="G73" s="7">
        <v>5598</v>
      </c>
      <c r="H73" s="3">
        <f t="shared" si="10"/>
        <v>0.0184867851393434</v>
      </c>
      <c r="I73" s="3">
        <f t="shared" si="11"/>
        <v>0.018834983431138</v>
      </c>
      <c r="J73" s="3">
        <f t="shared" si="12"/>
        <v>0.816749343449081</v>
      </c>
      <c r="K73" s="3">
        <f t="shared" si="13"/>
        <v>0.0391882762632468</v>
      </c>
      <c r="L73" s="3">
        <f t="shared" si="14"/>
        <v>0.0290116298471924</v>
      </c>
    </row>
    <row r="74" spans="1:12">
      <c r="A74" s="1">
        <v>2021</v>
      </c>
      <c r="B74" s="1">
        <v>1</v>
      </c>
      <c r="C74" s="2">
        <v>121188</v>
      </c>
      <c r="D74" s="6">
        <v>281.2</v>
      </c>
      <c r="E74" s="7">
        <v>7175</v>
      </c>
      <c r="F74" s="1">
        <v>3.6</v>
      </c>
      <c r="G74" s="7">
        <v>5647</v>
      </c>
      <c r="H74" s="3">
        <f t="shared" si="10"/>
        <v>0.0194010179932161</v>
      </c>
      <c r="I74" s="3">
        <f t="shared" si="11"/>
        <v>0.0197848645054803</v>
      </c>
      <c r="J74" s="3">
        <f t="shared" si="12"/>
        <v>0.787038327526132</v>
      </c>
      <c r="K74" s="3">
        <f t="shared" si="13"/>
        <v>0.036506428193709</v>
      </c>
      <c r="L74" s="3">
        <f t="shared" si="14"/>
        <v>0.0281456463495947</v>
      </c>
    </row>
    <row r="75" spans="1:12">
      <c r="A75" s="1">
        <v>2021</v>
      </c>
      <c r="B75" s="1">
        <v>2</v>
      </c>
      <c r="C75" s="2">
        <v>121751</v>
      </c>
      <c r="D75" s="6">
        <v>280.4</v>
      </c>
      <c r="E75" s="7">
        <v>7760</v>
      </c>
      <c r="F75" s="1">
        <v>3.7</v>
      </c>
      <c r="G75" s="7">
        <v>5864</v>
      </c>
      <c r="H75" s="3">
        <f t="shared" si="10"/>
        <v>0.0192563642627261</v>
      </c>
      <c r="I75" s="3">
        <f t="shared" si="11"/>
        <v>0.0196344524308334</v>
      </c>
      <c r="J75" s="3">
        <f t="shared" si="12"/>
        <v>0.755670103092783</v>
      </c>
      <c r="K75" s="3">
        <f t="shared" si="13"/>
        <v>0.039178739735629</v>
      </c>
      <c r="L75" s="3">
        <f t="shared" si="14"/>
        <v>0.0294065960832312</v>
      </c>
    </row>
    <row r="76" spans="1:12">
      <c r="A76" s="1">
        <v>2021</v>
      </c>
      <c r="B76" s="1">
        <v>3</v>
      </c>
      <c r="C76" s="2">
        <v>122452</v>
      </c>
      <c r="D76" s="6">
        <v>283</v>
      </c>
      <c r="E76" s="7">
        <v>8399</v>
      </c>
      <c r="F76" s="1">
        <v>3.8</v>
      </c>
      <c r="G76" s="1">
        <v>6105</v>
      </c>
      <c r="H76" s="3">
        <f t="shared" si="10"/>
        <v>0.0193236593586544</v>
      </c>
      <c r="I76" s="3">
        <f t="shared" si="11"/>
        <v>0.0197044208755124</v>
      </c>
      <c r="J76" s="3">
        <f t="shared" si="12"/>
        <v>0.726872246696035</v>
      </c>
      <c r="K76" s="3">
        <f t="shared" si="13"/>
        <v>0.0419430710091149</v>
      </c>
      <c r="L76" s="3">
        <f t="shared" si="14"/>
        <v>0.0308237459423137</v>
      </c>
    </row>
    <row r="77" spans="1:12">
      <c r="A77" s="1">
        <v>2021</v>
      </c>
      <c r="B77" s="1">
        <v>4</v>
      </c>
      <c r="C77" s="2">
        <v>122685</v>
      </c>
      <c r="D77" s="6">
        <v>286.3</v>
      </c>
      <c r="E77" s="7">
        <v>9288</v>
      </c>
      <c r="F77" s="1">
        <v>4</v>
      </c>
      <c r="G77" s="1">
        <v>6170</v>
      </c>
      <c r="H77" s="3">
        <f t="shared" si="10"/>
        <v>0.0195118613443379</v>
      </c>
      <c r="I77" s="3">
        <f t="shared" si="11"/>
        <v>0.0199001503180757</v>
      </c>
      <c r="J77" s="3">
        <f t="shared" si="12"/>
        <v>0.664298018949182</v>
      </c>
      <c r="K77" s="3">
        <f t="shared" si="13"/>
        <v>0.0486189365691935</v>
      </c>
      <c r="L77" s="3">
        <f t="shared" si="14"/>
        <v>0.0342595434436346</v>
      </c>
    </row>
    <row r="78" spans="1:12">
      <c r="A78" s="1">
        <v>2021</v>
      </c>
      <c r="B78" s="1">
        <v>5</v>
      </c>
      <c r="C78" s="2">
        <v>123166</v>
      </c>
      <c r="D78" s="6">
        <v>288.2</v>
      </c>
      <c r="E78" s="1">
        <v>9840</v>
      </c>
      <c r="F78" s="1">
        <v>3.8</v>
      </c>
      <c r="G78" s="1">
        <v>6036</v>
      </c>
      <c r="H78" s="3">
        <f t="shared" si="10"/>
        <v>0.0195646444364152</v>
      </c>
      <c r="I78" s="3">
        <f t="shared" si="11"/>
        <v>0.0199550580519088</v>
      </c>
      <c r="J78" s="3">
        <f t="shared" si="12"/>
        <v>0.613414634146341</v>
      </c>
      <c r="K78" s="3">
        <f t="shared" si="13"/>
        <v>0.0500894768090975</v>
      </c>
      <c r="L78" s="3">
        <f t="shared" si="14"/>
        <v>0.0350222674305032</v>
      </c>
    </row>
    <row r="79" spans="1:12">
      <c r="A79" s="1">
        <v>2021</v>
      </c>
      <c r="B79" s="1">
        <v>6</v>
      </c>
      <c r="C79" s="2">
        <v>123790</v>
      </c>
      <c r="D79" s="6">
        <v>289.3</v>
      </c>
      <c r="E79" s="1">
        <v>10069</v>
      </c>
      <c r="F79" s="1">
        <v>3.9</v>
      </c>
      <c r="G79" s="1">
        <v>6543</v>
      </c>
      <c r="H79" s="3">
        <f t="shared" si="10"/>
        <v>0.0195403208746283</v>
      </c>
      <c r="I79" s="3">
        <f t="shared" si="11"/>
        <v>0.0199297546759489</v>
      </c>
      <c r="J79" s="3">
        <f t="shared" si="12"/>
        <v>0.649816267752508</v>
      </c>
      <c r="K79" s="3">
        <f t="shared" si="13"/>
        <v>0.0484521867657635</v>
      </c>
      <c r="L79" s="3">
        <f t="shared" si="14"/>
        <v>0.0341909707208562</v>
      </c>
    </row>
    <row r="80" spans="1:12">
      <c r="A80" s="1">
        <v>2021</v>
      </c>
      <c r="B80" s="1">
        <v>7</v>
      </c>
      <c r="C80" s="2">
        <v>124521</v>
      </c>
      <c r="D80" s="6">
        <v>295.2</v>
      </c>
      <c r="E80" s="1">
        <v>10882</v>
      </c>
      <c r="F80" s="1">
        <v>4</v>
      </c>
      <c r="G80" s="1">
        <v>6555</v>
      </c>
      <c r="H80" s="3">
        <f t="shared" si="10"/>
        <v>0.0198217764453318</v>
      </c>
      <c r="I80" s="3">
        <f t="shared" si="11"/>
        <v>0.0202226247931188</v>
      </c>
      <c r="J80" s="3">
        <f t="shared" si="12"/>
        <v>0.602370887704466</v>
      </c>
      <c r="K80" s="3">
        <f t="shared" si="13"/>
        <v>0.0538865793597334</v>
      </c>
      <c r="L80" s="3">
        <f t="shared" si="14"/>
        <v>0.0370546020764261</v>
      </c>
    </row>
    <row r="81" spans="1:12">
      <c r="A81" s="1">
        <v>2021</v>
      </c>
      <c r="B81" s="1">
        <v>8</v>
      </c>
      <c r="C81" s="2">
        <v>125121</v>
      </c>
      <c r="D81" s="6">
        <v>295.2</v>
      </c>
      <c r="E81" s="1">
        <v>10960</v>
      </c>
      <c r="F81" s="1">
        <v>4</v>
      </c>
      <c r="G81" s="1">
        <v>6415</v>
      </c>
      <c r="H81" s="3">
        <f t="shared" si="10"/>
        <v>0.0197267239292298</v>
      </c>
      <c r="I81" s="3">
        <f t="shared" si="11"/>
        <v>0.020123698575463</v>
      </c>
      <c r="J81" s="3">
        <f t="shared" si="12"/>
        <v>0.585310218978102</v>
      </c>
      <c r="K81" s="3">
        <f t="shared" si="13"/>
        <v>0.0555445128797821</v>
      </c>
      <c r="L81" s="3">
        <f t="shared" si="14"/>
        <v>0.0378341057276226</v>
      </c>
    </row>
    <row r="82" spans="1:12">
      <c r="A82" s="1">
        <v>2021</v>
      </c>
      <c r="B82" s="1">
        <v>9</v>
      </c>
      <c r="C82" s="2">
        <v>125704</v>
      </c>
      <c r="D82" s="6">
        <v>298.3</v>
      </c>
      <c r="E82" s="1">
        <v>10882</v>
      </c>
      <c r="F82" s="1">
        <v>4.1</v>
      </c>
      <c r="G82" s="1">
        <v>6629</v>
      </c>
      <c r="H82" s="3">
        <f t="shared" si="10"/>
        <v>0.0198414303219519</v>
      </c>
      <c r="I82" s="3">
        <f t="shared" si="11"/>
        <v>0.0202430820234211</v>
      </c>
      <c r="J82" s="3">
        <f t="shared" si="12"/>
        <v>0.609171108252159</v>
      </c>
      <c r="K82" s="3">
        <f t="shared" si="13"/>
        <v>0.0546570973444492</v>
      </c>
      <c r="L82" s="3">
        <f t="shared" si="14"/>
        <v>0.0374500896839351</v>
      </c>
    </row>
    <row r="83" spans="1:12">
      <c r="A83" s="1">
        <v>2021</v>
      </c>
      <c r="B83" s="1">
        <v>10</v>
      </c>
      <c r="C83" s="2">
        <v>126522</v>
      </c>
      <c r="D83" s="6">
        <v>305.3</v>
      </c>
      <c r="E83" s="1">
        <v>11368</v>
      </c>
      <c r="F83" s="1">
        <v>4</v>
      </c>
      <c r="G83" s="1">
        <v>6667</v>
      </c>
      <c r="H83" s="3">
        <f t="shared" si="10"/>
        <v>0.020175744813426</v>
      </c>
      <c r="I83" s="3">
        <f t="shared" si="11"/>
        <v>0.020591187354904</v>
      </c>
      <c r="J83" s="3">
        <f t="shared" si="12"/>
        <v>0.586470795214638</v>
      </c>
      <c r="K83" s="3">
        <f t="shared" si="13"/>
        <v>0.0554285023889063</v>
      </c>
      <c r="L83" s="3">
        <f t="shared" si="14"/>
        <v>0.0380098448719051</v>
      </c>
    </row>
    <row r="84" spans="1:12">
      <c r="A84" s="1">
        <v>2021</v>
      </c>
      <c r="B84" s="1">
        <v>11</v>
      </c>
      <c r="C84" s="2">
        <v>127135</v>
      </c>
      <c r="D84" s="6">
        <v>313.1</v>
      </c>
      <c r="E84" s="1">
        <v>11232</v>
      </c>
      <c r="F84" s="1">
        <v>4.2</v>
      </c>
      <c r="G84" s="1">
        <v>6843</v>
      </c>
      <c r="H84" s="3">
        <f t="shared" si="10"/>
        <v>0.0205914419836287</v>
      </c>
      <c r="I84" s="3">
        <f t="shared" si="11"/>
        <v>0.021024363954235</v>
      </c>
      <c r="J84" s="3">
        <f t="shared" si="12"/>
        <v>0.609241452991453</v>
      </c>
      <c r="K84" s="3">
        <f t="shared" si="13"/>
        <v>0.0560581011406798</v>
      </c>
      <c r="L84" s="3">
        <f t="shared" si="14"/>
        <v>0.0385412325474574</v>
      </c>
    </row>
    <row r="85" spans="1:12">
      <c r="A85" s="1">
        <v>2021</v>
      </c>
      <c r="B85" s="1">
        <v>12</v>
      </c>
      <c r="C85" s="2">
        <v>127686</v>
      </c>
      <c r="D85" s="6">
        <v>317.1</v>
      </c>
      <c r="E85" s="1">
        <v>11826</v>
      </c>
      <c r="F85" s="1">
        <v>4.1</v>
      </c>
      <c r="G85" s="1">
        <v>6632</v>
      </c>
      <c r="H85" s="3">
        <f t="shared" si="10"/>
        <v>0.020764514454538</v>
      </c>
      <c r="I85" s="3">
        <f t="shared" si="11"/>
        <v>0.0212048222935585</v>
      </c>
      <c r="J85" s="3">
        <f t="shared" si="12"/>
        <v>0.560798241163538</v>
      </c>
      <c r="K85" s="3">
        <f t="shared" si="13"/>
        <v>0.059652901233297</v>
      </c>
      <c r="L85" s="3">
        <f t="shared" si="14"/>
        <v>0.0404288617634277</v>
      </c>
    </row>
    <row r="86" spans="1:12">
      <c r="A86" s="1">
        <v>2022</v>
      </c>
      <c r="B86" s="1">
        <v>1</v>
      </c>
      <c r="C86" s="2">
        <v>128031</v>
      </c>
      <c r="D86" s="6">
        <v>320.3</v>
      </c>
      <c r="E86" s="1">
        <v>11487</v>
      </c>
      <c r="F86" s="2">
        <v>4.2</v>
      </c>
      <c r="G86" s="1">
        <v>6496</v>
      </c>
      <c r="H86" s="3">
        <f t="shared" si="10"/>
        <v>0.0209175406384778</v>
      </c>
      <c r="I86" s="3">
        <f t="shared" si="11"/>
        <v>0.0213644320133347</v>
      </c>
      <c r="J86" s="3">
        <f t="shared" si="12"/>
        <v>0.565508836075564</v>
      </c>
      <c r="K86" s="3">
        <f t="shared" si="13"/>
        <v>0.0606562083373842</v>
      </c>
      <c r="L86" s="3">
        <f t="shared" si="14"/>
        <v>0.0410103201753594</v>
      </c>
    </row>
    <row r="87" spans="1:12">
      <c r="A87" s="1">
        <v>2022</v>
      </c>
      <c r="B87" s="1">
        <v>2</v>
      </c>
      <c r="C87" s="2">
        <v>128928</v>
      </c>
      <c r="D87" s="6">
        <v>326.5</v>
      </c>
      <c r="E87" s="1">
        <v>11601</v>
      </c>
      <c r="F87" s="2">
        <v>4</v>
      </c>
      <c r="G87" s="1">
        <v>6800</v>
      </c>
      <c r="H87" s="3">
        <f t="shared" si="10"/>
        <v>0.0211740902702896</v>
      </c>
      <c r="I87" s="3">
        <f t="shared" si="11"/>
        <v>0.0216321309640613</v>
      </c>
      <c r="J87" s="3">
        <f t="shared" si="12"/>
        <v>0.586156365830532</v>
      </c>
      <c r="K87" s="3">
        <f t="shared" si="13"/>
        <v>0.0554598846705193</v>
      </c>
      <c r="L87" s="3">
        <f t="shared" si="14"/>
        <v>0.0385460078172903</v>
      </c>
    </row>
    <row r="88" spans="1:12">
      <c r="A88" s="1">
        <v>2022</v>
      </c>
      <c r="B88" s="1">
        <v>3</v>
      </c>
      <c r="C88" s="2">
        <v>129351</v>
      </c>
      <c r="D88" s="6">
        <v>327.1</v>
      </c>
      <c r="E88" s="1">
        <v>12027</v>
      </c>
      <c r="F88" s="2">
        <v>4.1</v>
      </c>
      <c r="G88" s="1">
        <v>6577</v>
      </c>
      <c r="H88" s="3">
        <f t="shared" si="10"/>
        <v>0.0211436311491672</v>
      </c>
      <c r="I88" s="3">
        <f t="shared" si="11"/>
        <v>0.0216003407874738</v>
      </c>
      <c r="J88" s="3">
        <f t="shared" si="12"/>
        <v>0.546852914276212</v>
      </c>
      <c r="K88" s="3">
        <f t="shared" si="13"/>
        <v>0.0612673137908028</v>
      </c>
      <c r="L88" s="3">
        <f t="shared" si="14"/>
        <v>0.0414338272891383</v>
      </c>
    </row>
    <row r="89" spans="4:7">
      <c r="D89" s="6"/>
      <c r="E89" s="1"/>
      <c r="F89" s="2"/>
      <c r="G89" s="1"/>
    </row>
    <row r="90" spans="4:7">
      <c r="D90" s="6"/>
      <c r="E90" s="1"/>
      <c r="F90" s="2"/>
      <c r="G90" s="1"/>
    </row>
    <row r="91" spans="4:7">
      <c r="D91" s="6"/>
      <c r="E91" s="1"/>
      <c r="F91" s="2"/>
      <c r="G91" s="1"/>
    </row>
    <row r="92" spans="4:7">
      <c r="D92" s="6"/>
      <c r="E92" s="1"/>
      <c r="F92" s="2"/>
      <c r="G92" s="1"/>
    </row>
    <row r="93" spans="4:5">
      <c r="D93" s="6"/>
      <c r="E93" s="1"/>
    </row>
    <row r="94" spans="4:5">
      <c r="D94" s="6"/>
      <c r="E94" s="1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Read Me</vt:lpstr>
      <vt:lpstr>Table1-Tau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Legion</dc:creator>
  <cp:lastModifiedBy>淡定笃行</cp:lastModifiedBy>
  <dcterms:created xsi:type="dcterms:W3CDTF">2023-05-27T15:08:00Z</dcterms:created>
  <dcterms:modified xsi:type="dcterms:W3CDTF">2023-05-28T15:51:37Z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3BBD39168DD841849CD07524D105ADFF_12</vt:lpwstr>
  </property>
  <property fmtid="{D5CDD505-2E9C-101B-9397-08002B2CF9AE}" pid="3" name="KSOProductBuildVer">
    <vt:lpwstr>2052-11.1.0.14309</vt:lpwstr>
  </property>
</Properties>
</file>