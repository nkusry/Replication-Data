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 activeTab="2"/>
  </bookViews>
  <sheets>
    <sheet name="Read Me" sheetId="1" r:id="rId1"/>
    <sheet name="Table1-OUI Data" sheetId="2" r:id="rId2"/>
    <sheet name="Table2-Construction" sheetId="3" r:id="rId3"/>
  </sheets>
  <calcPr calcId="144525"/>
</workbook>
</file>

<file path=xl/sharedStrings.xml><?xml version="1.0" encoding="utf-8"?>
<sst xmlns="http://schemas.openxmlformats.org/spreadsheetml/2006/main" count="547" uniqueCount="27">
  <si>
    <t>Table1-OUI Data</t>
  </si>
  <si>
    <t>Available from https://oui.doleta.gov/unemploy/data_summary/DataSum.asp</t>
  </si>
  <si>
    <r>
      <rPr>
        <sz val="12"/>
        <color theme="1"/>
        <rFont val="宋体"/>
        <charset val="134"/>
        <scheme val="minor"/>
      </rPr>
      <t xml:space="preserve">(click on </t>
    </r>
    <r>
      <rPr>
        <i/>
        <sz val="12"/>
        <color theme="1"/>
        <rFont val="宋体"/>
        <charset val="134"/>
        <scheme val="minor"/>
      </rPr>
      <t>State</t>
    </r>
    <r>
      <rPr>
        <sz val="12"/>
        <color theme="1"/>
        <rFont val="宋体"/>
        <charset val="134"/>
        <scheme val="minor"/>
      </rPr>
      <t xml:space="preserve">, then choose </t>
    </r>
    <r>
      <rPr>
        <i/>
        <sz val="12"/>
        <color theme="1"/>
        <rFont val="宋体"/>
        <charset val="134"/>
        <scheme val="minor"/>
      </rPr>
      <t>U.S.</t>
    </r>
    <r>
      <rPr>
        <sz val="12"/>
        <color theme="1"/>
        <rFont val="宋体"/>
        <charset val="134"/>
        <scheme val="minor"/>
      </rPr>
      <t xml:space="preserve"> and then </t>
    </r>
    <r>
      <rPr>
        <i/>
        <sz val="12"/>
        <color theme="1"/>
        <rFont val="宋体"/>
        <charset val="134"/>
        <scheme val="minor"/>
      </rPr>
      <t>Labor Force Data</t>
    </r>
    <r>
      <rPr>
        <sz val="12"/>
        <color theme="1"/>
        <rFont val="宋体"/>
        <charset val="134"/>
        <scheme val="minor"/>
      </rPr>
      <t>)</t>
    </r>
  </si>
  <si>
    <t>Table2-Construction</t>
  </si>
  <si>
    <t>We constuct the effective replacement rate in the United State, 2015-2022.</t>
  </si>
  <si>
    <r>
      <rPr>
        <sz val="11"/>
        <color theme="1"/>
        <rFont val="宋体"/>
        <charset val="134"/>
        <scheme val="minor"/>
      </rPr>
      <t xml:space="preserve">All statistics in Table 2 come from data in Table 1 except for </t>
    </r>
    <r>
      <rPr>
        <b/>
        <sz val="11"/>
        <color theme="1"/>
        <rFont val="宋体"/>
        <charset val="134"/>
        <scheme val="minor"/>
      </rPr>
      <t>Job Loser Rate</t>
    </r>
    <r>
      <rPr>
        <sz val="11"/>
        <color theme="1"/>
        <rFont val="宋体"/>
        <charset val="134"/>
        <scheme val="minor"/>
      </rPr>
      <t xml:space="preserve">, which comes from 'statistics_m.xlsx' and has been converted quarterly using </t>
    </r>
    <r>
      <rPr>
        <sz val="11"/>
        <color rgb="FFFF0000"/>
        <rFont val="宋体"/>
        <charset val="134"/>
        <scheme val="minor"/>
      </rPr>
      <t>MATLAB</t>
    </r>
    <r>
      <rPr>
        <sz val="11"/>
        <color theme="1"/>
        <rFont val="宋体"/>
        <charset val="134"/>
        <scheme val="minor"/>
      </rPr>
      <t>.</t>
    </r>
  </si>
  <si>
    <t>State</t>
  </si>
  <si>
    <t>Year</t>
  </si>
  <si>
    <t>Quarter</t>
  </si>
  <si>
    <t>Civilian Labor Force(000)</t>
  </si>
  <si>
    <t>Covered Employment(000)</t>
  </si>
  <si>
    <t>Subject Employers(000)</t>
  </si>
  <si>
    <t>Total Unemployment Rate</t>
  </si>
  <si>
    <t>Total Unemployed(000)</t>
  </si>
  <si>
    <t>Insured Unemployed Regular Programs(000)</t>
  </si>
  <si>
    <t>Insured Unemployed All Programs(000)</t>
  </si>
  <si>
    <t>Recipiency Rates Regular Programs</t>
  </si>
  <si>
    <t>Recipiency Rates All Programs</t>
  </si>
  <si>
    <t>(%)</t>
  </si>
  <si>
    <t>Rank</t>
  </si>
  <si>
    <t>US</t>
  </si>
  <si>
    <t>NA</t>
  </si>
  <si>
    <t>Job Loser Rate</t>
  </si>
  <si>
    <t>Unemployment Rate (u_E)</t>
  </si>
  <si>
    <t>Coverage Rate</t>
  </si>
  <si>
    <t>Unemployment Rate (u)</t>
  </si>
  <si>
    <t>Unemployment Rate (u_N)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</si>
</sst>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</numFmts>
  <fonts count="28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Arial"/>
      <charset val="134"/>
    </font>
    <font>
      <b/>
      <sz val="11.25"/>
      <color rgb="FFFFFFFF"/>
      <name val="Arial"/>
      <charset val="134"/>
    </font>
    <font>
      <b/>
      <sz val="12"/>
      <name val="宋体"/>
      <charset val="134"/>
    </font>
    <font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5A76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20" fillId="13" borderId="3" applyNumberFormat="0" applyAlignment="0" applyProtection="0">
      <alignment vertical="center"/>
    </xf>
    <xf numFmtId="0" fontId="21" fillId="14" borderId="8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center" vertical="center" wrapText="1"/>
    </xf>
    <xf numFmtId="4" fontId="2" fillId="3" borderId="2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/>
    <xf numFmtId="0" fontId="6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H11" sqref="H11"/>
    </sheetView>
  </sheetViews>
  <sheetFormatPr defaultColWidth="9" defaultRowHeight="14.4" outlineLevelRow="6"/>
  <sheetData>
    <row r="1" ht="15.6" spans="1:1">
      <c r="A1" s="19" t="s">
        <v>0</v>
      </c>
    </row>
    <row r="2" ht="15.6" spans="1:1">
      <c r="A2" s="10" t="s">
        <v>1</v>
      </c>
    </row>
    <row r="3" ht="15.6" spans="1:1">
      <c r="A3" s="20" t="s">
        <v>2</v>
      </c>
    </row>
    <row r="5" spans="1:1">
      <c r="A5" s="21" t="s">
        <v>3</v>
      </c>
    </row>
    <row r="6" spans="1:1">
      <c r="A6" t="s">
        <v>4</v>
      </c>
    </row>
    <row r="7" spans="1:1">
      <c r="A7" s="22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1"/>
  <sheetViews>
    <sheetView topLeftCell="A115" workbookViewId="0">
      <selection activeCell="A132" sqref="$A132:$XFD134"/>
    </sheetView>
  </sheetViews>
  <sheetFormatPr defaultColWidth="10" defaultRowHeight="15.6"/>
  <cols>
    <col min="1" max="9" width="10" style="10"/>
    <col min="10" max="11" width="10.6666666666667" style="10"/>
    <col min="12" max="15" width="10" style="10"/>
    <col min="16" max="17" width="14.2222222222222" style="10"/>
    <col min="18" max="16384" width="10" style="10"/>
  </cols>
  <sheetData>
    <row r="1" s="10" customFormat="1" ht="16.35" spans="1:15">
      <c r="A1" s="12" t="s">
        <v>6</v>
      </c>
      <c r="B1" s="12" t="s">
        <v>7</v>
      </c>
      <c r="C1" s="12" t="s">
        <v>8</v>
      </c>
      <c r="D1" s="12" t="s">
        <v>9</v>
      </c>
      <c r="E1" s="12" t="s">
        <v>10</v>
      </c>
      <c r="F1" s="12" t="s">
        <v>11</v>
      </c>
      <c r="G1" s="12" t="s">
        <v>12</v>
      </c>
      <c r="H1" s="12"/>
      <c r="I1" s="12" t="s">
        <v>13</v>
      </c>
      <c r="J1" s="12" t="s">
        <v>14</v>
      </c>
      <c r="K1" s="12" t="s">
        <v>15</v>
      </c>
      <c r="L1" s="12" t="s">
        <v>16</v>
      </c>
      <c r="M1" s="12"/>
      <c r="N1" s="12" t="s">
        <v>17</v>
      </c>
      <c r="O1" s="12"/>
    </row>
    <row r="2" s="10" customFormat="1" ht="16.35" spans="1:15">
      <c r="A2" s="12"/>
      <c r="B2" s="12"/>
      <c r="C2" s="12"/>
      <c r="D2" s="12"/>
      <c r="E2" s="12"/>
      <c r="F2" s="12"/>
      <c r="G2" s="12" t="s">
        <v>18</v>
      </c>
      <c r="H2" s="12" t="s">
        <v>19</v>
      </c>
      <c r="I2" s="12"/>
      <c r="J2" s="12"/>
      <c r="K2" s="12"/>
      <c r="L2" s="12" t="s">
        <v>18</v>
      </c>
      <c r="M2" s="12" t="s">
        <v>19</v>
      </c>
      <c r="N2" s="12" t="s">
        <v>18</v>
      </c>
      <c r="O2" s="12" t="s">
        <v>19</v>
      </c>
    </row>
    <row r="3" s="10" customFormat="1" ht="16.35" spans="1:15">
      <c r="A3" s="13" t="s">
        <v>20</v>
      </c>
      <c r="B3" s="13">
        <v>1990</v>
      </c>
      <c r="C3" s="13">
        <v>1</v>
      </c>
      <c r="D3" s="14">
        <v>125605</v>
      </c>
      <c r="E3" s="14">
        <v>104639</v>
      </c>
      <c r="F3" s="14">
        <v>5632</v>
      </c>
      <c r="G3" s="13">
        <v>5.8</v>
      </c>
      <c r="H3" s="13" t="s">
        <v>21</v>
      </c>
      <c r="I3" s="14">
        <v>7337</v>
      </c>
      <c r="J3" s="17">
        <v>2979.9</v>
      </c>
      <c r="K3" s="17">
        <v>2980.46</v>
      </c>
      <c r="L3" s="13">
        <v>40.6</v>
      </c>
      <c r="M3" s="13" t="s">
        <v>21</v>
      </c>
      <c r="N3" s="13">
        <v>40.6</v>
      </c>
      <c r="O3" s="13" t="s">
        <v>21</v>
      </c>
    </row>
    <row r="4" s="10" customFormat="1" ht="16.35" spans="1:15">
      <c r="A4" s="13" t="s">
        <v>20</v>
      </c>
      <c r="B4" s="13">
        <v>1990</v>
      </c>
      <c r="C4" s="13">
        <v>2</v>
      </c>
      <c r="D4" s="14">
        <v>127167</v>
      </c>
      <c r="E4" s="14">
        <v>106907</v>
      </c>
      <c r="F4" s="14">
        <v>5652</v>
      </c>
      <c r="G4" s="13">
        <v>5.4</v>
      </c>
      <c r="H4" s="13" t="s">
        <v>21</v>
      </c>
      <c r="I4" s="14">
        <v>6835</v>
      </c>
      <c r="J4" s="17">
        <v>2375.77</v>
      </c>
      <c r="K4" s="17">
        <v>2379.29</v>
      </c>
      <c r="L4" s="13">
        <v>34.8</v>
      </c>
      <c r="M4" s="13" t="s">
        <v>21</v>
      </c>
      <c r="N4" s="13">
        <v>34.8</v>
      </c>
      <c r="O4" s="13" t="s">
        <v>21</v>
      </c>
    </row>
    <row r="5" s="10" customFormat="1" ht="16.35" spans="1:15">
      <c r="A5" s="13" t="s">
        <v>20</v>
      </c>
      <c r="B5" s="13">
        <v>1990</v>
      </c>
      <c r="C5" s="13">
        <v>3</v>
      </c>
      <c r="D5" s="14">
        <v>128248</v>
      </c>
      <c r="E5" s="14">
        <v>106490</v>
      </c>
      <c r="F5" s="14">
        <v>5685</v>
      </c>
      <c r="G5" s="13">
        <v>5.6</v>
      </c>
      <c r="H5" s="13" t="s">
        <v>21</v>
      </c>
      <c r="I5" s="14">
        <v>7222</v>
      </c>
      <c r="J5" s="17">
        <v>2311.72</v>
      </c>
      <c r="K5" s="17">
        <v>2312.09</v>
      </c>
      <c r="L5" s="13">
        <v>32</v>
      </c>
      <c r="M5" s="13" t="s">
        <v>21</v>
      </c>
      <c r="N5" s="13">
        <v>32</v>
      </c>
      <c r="O5" s="13" t="s">
        <v>21</v>
      </c>
    </row>
    <row r="6" s="10" customFormat="1" ht="16.35" spans="1:15">
      <c r="A6" s="13" t="s">
        <v>20</v>
      </c>
      <c r="B6" s="13">
        <v>1990</v>
      </c>
      <c r="C6" s="13">
        <v>4</v>
      </c>
      <c r="D6" s="14">
        <v>127189</v>
      </c>
      <c r="E6" s="14">
        <v>107264</v>
      </c>
      <c r="F6" s="14">
        <v>5689</v>
      </c>
      <c r="G6" s="13">
        <v>5.9</v>
      </c>
      <c r="H6" s="13" t="s">
        <v>21</v>
      </c>
      <c r="I6" s="14">
        <v>7445</v>
      </c>
      <c r="J6" s="17">
        <v>2646.43</v>
      </c>
      <c r="K6" s="17">
        <v>2649.66</v>
      </c>
      <c r="L6" s="13">
        <v>35.5</v>
      </c>
      <c r="M6" s="13" t="s">
        <v>21</v>
      </c>
      <c r="N6" s="13">
        <v>35.6</v>
      </c>
      <c r="O6" s="13" t="s">
        <v>21</v>
      </c>
    </row>
    <row r="7" s="10" customFormat="1" ht="16.35" spans="1:15">
      <c r="A7" s="13" t="s">
        <v>20</v>
      </c>
      <c r="B7" s="13">
        <v>1991</v>
      </c>
      <c r="C7" s="13">
        <v>1</v>
      </c>
      <c r="D7" s="14">
        <v>126434</v>
      </c>
      <c r="E7" s="14">
        <v>103381</v>
      </c>
      <c r="F7" s="14">
        <v>5694</v>
      </c>
      <c r="G7" s="13">
        <v>7.2</v>
      </c>
      <c r="H7" s="13" t="s">
        <v>21</v>
      </c>
      <c r="I7" s="14">
        <v>9165</v>
      </c>
      <c r="J7" s="17">
        <v>3997.55</v>
      </c>
      <c r="K7" s="17">
        <v>4002.95</v>
      </c>
      <c r="L7" s="13">
        <v>43.6</v>
      </c>
      <c r="M7" s="13" t="s">
        <v>21</v>
      </c>
      <c r="N7" s="13">
        <v>43.7</v>
      </c>
      <c r="O7" s="13" t="s">
        <v>21</v>
      </c>
    </row>
    <row r="8" s="10" customFormat="1" ht="16.35" spans="1:15">
      <c r="A8" s="13" t="s">
        <v>20</v>
      </c>
      <c r="B8" s="13">
        <v>1991</v>
      </c>
      <c r="C8" s="13">
        <v>2</v>
      </c>
      <c r="D8" s="14">
        <v>128039</v>
      </c>
      <c r="E8" s="14">
        <v>105102</v>
      </c>
      <c r="F8" s="14">
        <v>5685</v>
      </c>
      <c r="G8" s="13">
        <v>6.8</v>
      </c>
      <c r="H8" s="13" t="s">
        <v>21</v>
      </c>
      <c r="I8" s="14">
        <v>8759</v>
      </c>
      <c r="J8" s="17">
        <v>3444.43</v>
      </c>
      <c r="K8" s="17">
        <v>3538.35</v>
      </c>
      <c r="L8" s="13">
        <v>39.3</v>
      </c>
      <c r="M8" s="13" t="s">
        <v>21</v>
      </c>
      <c r="N8" s="13">
        <v>40.4</v>
      </c>
      <c r="O8" s="13" t="s">
        <v>21</v>
      </c>
    </row>
    <row r="9" s="10" customFormat="1" ht="16.35" spans="1:15">
      <c r="A9" s="13" t="s">
        <v>20</v>
      </c>
      <c r="B9" s="13">
        <v>1991</v>
      </c>
      <c r="C9" s="13">
        <v>3</v>
      </c>
      <c r="D9" s="14">
        <v>128891</v>
      </c>
      <c r="E9" s="14">
        <v>104428</v>
      </c>
      <c r="F9" s="14">
        <v>5719</v>
      </c>
      <c r="G9" s="13">
        <v>6.8</v>
      </c>
      <c r="H9" s="13" t="s">
        <v>21</v>
      </c>
      <c r="I9" s="14">
        <v>8713</v>
      </c>
      <c r="J9" s="17">
        <v>3085.26</v>
      </c>
      <c r="K9" s="17">
        <v>3107.05</v>
      </c>
      <c r="L9" s="13">
        <v>35.4</v>
      </c>
      <c r="M9" s="13" t="s">
        <v>21</v>
      </c>
      <c r="N9" s="13">
        <v>35.7</v>
      </c>
      <c r="O9" s="13" t="s">
        <v>21</v>
      </c>
    </row>
    <row r="10" s="10" customFormat="1" ht="16.35" spans="1:15">
      <c r="A10" s="13" t="s">
        <v>20</v>
      </c>
      <c r="B10" s="13">
        <v>1991</v>
      </c>
      <c r="C10" s="13">
        <v>4</v>
      </c>
      <c r="D10" s="14">
        <v>128009</v>
      </c>
      <c r="E10" s="14">
        <v>105656</v>
      </c>
      <c r="F10" s="14">
        <v>5740</v>
      </c>
      <c r="G10" s="13">
        <v>6.8</v>
      </c>
      <c r="H10" s="13" t="s">
        <v>21</v>
      </c>
      <c r="I10" s="14">
        <v>8707</v>
      </c>
      <c r="J10" s="17">
        <v>3128.31</v>
      </c>
      <c r="K10" s="17">
        <v>3133.92</v>
      </c>
      <c r="L10" s="13">
        <v>35.9</v>
      </c>
      <c r="M10" s="13" t="s">
        <v>21</v>
      </c>
      <c r="N10" s="13">
        <v>36</v>
      </c>
      <c r="O10" s="13" t="s">
        <v>21</v>
      </c>
    </row>
    <row r="11" s="10" customFormat="1" ht="16.35" spans="1:15">
      <c r="A11" s="13" t="s">
        <v>20</v>
      </c>
      <c r="B11" s="13">
        <v>1992</v>
      </c>
      <c r="C11" s="13">
        <v>1</v>
      </c>
      <c r="D11" s="14">
        <v>128068</v>
      </c>
      <c r="E11" s="14">
        <v>103070</v>
      </c>
      <c r="F11" s="14">
        <v>5731</v>
      </c>
      <c r="G11" s="13">
        <v>8.1</v>
      </c>
      <c r="H11" s="13" t="s">
        <v>21</v>
      </c>
      <c r="I11" s="14">
        <v>10403</v>
      </c>
      <c r="J11" s="17">
        <v>4182.09</v>
      </c>
      <c r="K11" s="17">
        <v>4185.2</v>
      </c>
      <c r="L11" s="13">
        <v>40.2</v>
      </c>
      <c r="M11" s="13" t="s">
        <v>21</v>
      </c>
      <c r="N11" s="13">
        <v>40.2</v>
      </c>
      <c r="O11" s="13" t="s">
        <v>21</v>
      </c>
    </row>
    <row r="12" s="10" customFormat="1" ht="16.35" spans="1:15">
      <c r="A12" s="13" t="s">
        <v>20</v>
      </c>
      <c r="B12" s="13">
        <v>1992</v>
      </c>
      <c r="C12" s="13">
        <v>2</v>
      </c>
      <c r="D12" s="14">
        <v>129999</v>
      </c>
      <c r="E12" s="14">
        <v>105693</v>
      </c>
      <c r="F12" s="14">
        <v>5743</v>
      </c>
      <c r="G12" s="13">
        <v>7.6</v>
      </c>
      <c r="H12" s="13" t="s">
        <v>21</v>
      </c>
      <c r="I12" s="14">
        <v>9864</v>
      </c>
      <c r="J12" s="17">
        <v>3329.32</v>
      </c>
      <c r="K12" s="17">
        <v>3341.3</v>
      </c>
      <c r="L12" s="13">
        <v>33.8</v>
      </c>
      <c r="M12" s="13" t="s">
        <v>21</v>
      </c>
      <c r="N12" s="13">
        <v>33.9</v>
      </c>
      <c r="O12" s="13" t="s">
        <v>21</v>
      </c>
    </row>
    <row r="13" s="10" customFormat="1" ht="16.35" spans="1:15">
      <c r="A13" s="13" t="s">
        <v>20</v>
      </c>
      <c r="B13" s="13">
        <v>1992</v>
      </c>
      <c r="C13" s="13">
        <v>3</v>
      </c>
      <c r="D13" s="14">
        <v>131335</v>
      </c>
      <c r="E13" s="14">
        <v>105169</v>
      </c>
      <c r="F13" s="14">
        <v>5769</v>
      </c>
      <c r="G13" s="13">
        <v>7.6</v>
      </c>
      <c r="H13" s="13" t="s">
        <v>21</v>
      </c>
      <c r="I13" s="14">
        <v>9920</v>
      </c>
      <c r="J13" s="17">
        <v>3075.72</v>
      </c>
      <c r="K13" s="17">
        <v>3080.19</v>
      </c>
      <c r="L13" s="13">
        <v>31</v>
      </c>
      <c r="M13" s="13" t="s">
        <v>21</v>
      </c>
      <c r="N13" s="13">
        <v>31.1</v>
      </c>
      <c r="O13" s="13" t="s">
        <v>21</v>
      </c>
    </row>
    <row r="14" s="10" customFormat="1" ht="16.35" spans="1:15">
      <c r="A14" s="13" t="s">
        <v>20</v>
      </c>
      <c r="B14" s="13">
        <v>1992</v>
      </c>
      <c r="C14" s="13">
        <v>4</v>
      </c>
      <c r="D14" s="14">
        <v>129894</v>
      </c>
      <c r="E14" s="14">
        <v>106817</v>
      </c>
      <c r="F14" s="14">
        <v>5791</v>
      </c>
      <c r="G14" s="13">
        <v>7.1</v>
      </c>
      <c r="H14" s="13" t="s">
        <v>21</v>
      </c>
      <c r="I14" s="14">
        <v>9205</v>
      </c>
      <c r="J14" s="17">
        <v>2824.88</v>
      </c>
      <c r="K14" s="17">
        <v>2825.03</v>
      </c>
      <c r="L14" s="13">
        <v>30.7</v>
      </c>
      <c r="M14" s="13" t="s">
        <v>21</v>
      </c>
      <c r="N14" s="13">
        <v>30.7</v>
      </c>
      <c r="O14" s="13" t="s">
        <v>21</v>
      </c>
    </row>
    <row r="15" s="10" customFormat="1" ht="16.35" spans="1:15">
      <c r="A15" s="13" t="s">
        <v>20</v>
      </c>
      <c r="B15" s="13">
        <v>1993</v>
      </c>
      <c r="C15" s="13">
        <v>1</v>
      </c>
      <c r="D15" s="14">
        <v>129378</v>
      </c>
      <c r="E15" s="14">
        <v>104662</v>
      </c>
      <c r="F15" s="14">
        <v>5793</v>
      </c>
      <c r="G15" s="13">
        <v>7.8</v>
      </c>
      <c r="H15" s="13" t="s">
        <v>21</v>
      </c>
      <c r="I15" s="14">
        <v>10132</v>
      </c>
      <c r="J15" s="17">
        <v>3341.2</v>
      </c>
      <c r="K15" s="17">
        <v>3341.32</v>
      </c>
      <c r="L15" s="13">
        <v>33</v>
      </c>
      <c r="M15" s="13" t="s">
        <v>21</v>
      </c>
      <c r="N15" s="13">
        <v>33</v>
      </c>
      <c r="O15" s="13" t="s">
        <v>21</v>
      </c>
    </row>
    <row r="16" s="10" customFormat="1" ht="16.35" spans="1:15">
      <c r="A16" s="13" t="s">
        <v>20</v>
      </c>
      <c r="B16" s="13">
        <v>1993</v>
      </c>
      <c r="C16" s="13">
        <v>2</v>
      </c>
      <c r="D16" s="14">
        <v>131124</v>
      </c>
      <c r="E16" s="14">
        <v>107570</v>
      </c>
      <c r="F16" s="14">
        <v>5818</v>
      </c>
      <c r="G16" s="13">
        <v>7.1</v>
      </c>
      <c r="H16" s="13" t="s">
        <v>21</v>
      </c>
      <c r="I16" s="14">
        <v>9290</v>
      </c>
      <c r="J16" s="17">
        <v>2780.64</v>
      </c>
      <c r="K16" s="17">
        <v>2780.75</v>
      </c>
      <c r="L16" s="13">
        <v>29.9</v>
      </c>
      <c r="M16" s="13" t="s">
        <v>21</v>
      </c>
      <c r="N16" s="13">
        <v>29.9</v>
      </c>
      <c r="O16" s="13" t="s">
        <v>21</v>
      </c>
    </row>
    <row r="17" s="10" customFormat="1" ht="16.35" spans="1:15">
      <c r="A17" s="13" t="s">
        <v>20</v>
      </c>
      <c r="B17" s="13">
        <v>1993</v>
      </c>
      <c r="C17" s="13">
        <v>3</v>
      </c>
      <c r="D17" s="14">
        <v>132368</v>
      </c>
      <c r="E17" s="14">
        <v>107397</v>
      </c>
      <c r="F17" s="14">
        <v>5857</v>
      </c>
      <c r="G17" s="13">
        <v>6.8</v>
      </c>
      <c r="H17" s="13" t="s">
        <v>21</v>
      </c>
      <c r="I17" s="14">
        <v>8983</v>
      </c>
      <c r="J17" s="17">
        <v>2638.92</v>
      </c>
      <c r="K17" s="17">
        <v>2639.03</v>
      </c>
      <c r="L17" s="13">
        <v>29.4</v>
      </c>
      <c r="M17" s="13" t="s">
        <v>21</v>
      </c>
      <c r="N17" s="13">
        <v>29.4</v>
      </c>
      <c r="O17" s="13" t="s">
        <v>21</v>
      </c>
    </row>
    <row r="18" s="10" customFormat="1" ht="16.35" spans="1:15">
      <c r="A18" s="13" t="s">
        <v>20</v>
      </c>
      <c r="B18" s="13">
        <v>1993</v>
      </c>
      <c r="C18" s="13">
        <v>4</v>
      </c>
      <c r="D18" s="14">
        <v>131644</v>
      </c>
      <c r="E18" s="14">
        <v>109422</v>
      </c>
      <c r="F18" s="14">
        <v>5900</v>
      </c>
      <c r="G18" s="13">
        <v>6.3</v>
      </c>
      <c r="H18" s="13" t="s">
        <v>21</v>
      </c>
      <c r="I18" s="14">
        <v>8350</v>
      </c>
      <c r="J18" s="17">
        <v>2612.24</v>
      </c>
      <c r="K18" s="17">
        <v>2647.9</v>
      </c>
      <c r="L18" s="13">
        <v>31.3</v>
      </c>
      <c r="M18" s="13" t="s">
        <v>21</v>
      </c>
      <c r="N18" s="13">
        <v>31.7</v>
      </c>
      <c r="O18" s="13" t="s">
        <v>21</v>
      </c>
    </row>
    <row r="19" s="10" customFormat="1" ht="16.35" spans="1:15">
      <c r="A19" s="13" t="s">
        <v>20</v>
      </c>
      <c r="B19" s="13">
        <v>1994</v>
      </c>
      <c r="C19" s="13">
        <v>1</v>
      </c>
      <c r="D19" s="14">
        <v>131632</v>
      </c>
      <c r="E19" s="14">
        <v>107525</v>
      </c>
      <c r="F19" s="14">
        <v>5914</v>
      </c>
      <c r="G19" s="13">
        <v>7.2</v>
      </c>
      <c r="H19" s="13" t="s">
        <v>21</v>
      </c>
      <c r="I19" s="14">
        <v>9447</v>
      </c>
      <c r="J19" s="17">
        <v>3423.47</v>
      </c>
      <c r="K19" s="17">
        <v>3466.32</v>
      </c>
      <c r="L19" s="13">
        <v>36.2</v>
      </c>
      <c r="M19" s="13" t="s">
        <v>21</v>
      </c>
      <c r="N19" s="13">
        <v>36.7</v>
      </c>
      <c r="O19" s="13" t="s">
        <v>21</v>
      </c>
    </row>
    <row r="20" s="10" customFormat="1" ht="16.35" spans="1:15">
      <c r="A20" s="13" t="s">
        <v>20</v>
      </c>
      <c r="B20" s="13">
        <v>1994</v>
      </c>
      <c r="C20" s="13">
        <v>2</v>
      </c>
      <c r="D20" s="14">
        <v>132865</v>
      </c>
      <c r="E20" s="14">
        <v>110772</v>
      </c>
      <c r="F20" s="14">
        <v>5955</v>
      </c>
      <c r="G20" s="13">
        <v>6.2</v>
      </c>
      <c r="H20" s="13" t="s">
        <v>21</v>
      </c>
      <c r="I20" s="14">
        <v>8211</v>
      </c>
      <c r="J20" s="17">
        <v>2721.54</v>
      </c>
      <c r="K20" s="17">
        <v>2753.55</v>
      </c>
      <c r="L20" s="13">
        <v>33.1</v>
      </c>
      <c r="M20" s="13" t="s">
        <v>21</v>
      </c>
      <c r="N20" s="13">
        <v>33.5</v>
      </c>
      <c r="O20" s="13" t="s">
        <v>21</v>
      </c>
    </row>
    <row r="21" s="10" customFormat="1" ht="16.35" spans="1:15">
      <c r="A21" s="13" t="s">
        <v>20</v>
      </c>
      <c r="B21" s="13">
        <v>1994</v>
      </c>
      <c r="C21" s="13">
        <v>3</v>
      </c>
      <c r="D21" s="14">
        <v>134226</v>
      </c>
      <c r="E21" s="14">
        <v>110928</v>
      </c>
      <c r="F21" s="14">
        <v>5999</v>
      </c>
      <c r="G21" s="13">
        <v>6</v>
      </c>
      <c r="H21" s="13" t="s">
        <v>21</v>
      </c>
      <c r="I21" s="14">
        <v>8065</v>
      </c>
      <c r="J21" s="17">
        <v>2492.7</v>
      </c>
      <c r="K21" s="17">
        <v>2528.49</v>
      </c>
      <c r="L21" s="13">
        <v>30.9</v>
      </c>
      <c r="M21" s="13" t="s">
        <v>21</v>
      </c>
      <c r="N21" s="13">
        <v>31.3</v>
      </c>
      <c r="O21" s="13" t="s">
        <v>21</v>
      </c>
    </row>
    <row r="22" s="10" customFormat="1" ht="16.35" spans="1:15">
      <c r="A22" s="13" t="s">
        <v>20</v>
      </c>
      <c r="B22" s="13">
        <v>1994</v>
      </c>
      <c r="C22" s="13">
        <v>4</v>
      </c>
      <c r="D22" s="14">
        <v>133880</v>
      </c>
      <c r="E22" s="14">
        <v>112877</v>
      </c>
      <c r="F22" s="14">
        <v>6039</v>
      </c>
      <c r="G22" s="13">
        <v>5.3</v>
      </c>
      <c r="H22" s="13" t="s">
        <v>21</v>
      </c>
      <c r="I22" s="14">
        <v>7144</v>
      </c>
      <c r="J22" s="17">
        <v>2364.11</v>
      </c>
      <c r="K22" s="17">
        <v>2378</v>
      </c>
      <c r="L22" s="13">
        <v>33.1</v>
      </c>
      <c r="M22" s="13" t="s">
        <v>21</v>
      </c>
      <c r="N22" s="13">
        <v>33.3</v>
      </c>
      <c r="O22" s="13" t="s">
        <v>21</v>
      </c>
    </row>
    <row r="23" s="10" customFormat="1" ht="16.35" spans="1:15">
      <c r="A23" s="13" t="s">
        <v>20</v>
      </c>
      <c r="B23" s="13">
        <v>1995</v>
      </c>
      <c r="C23" s="13">
        <v>1</v>
      </c>
      <c r="D23" s="14">
        <v>133384</v>
      </c>
      <c r="E23" s="14">
        <v>111106</v>
      </c>
      <c r="F23" s="14">
        <v>6026</v>
      </c>
      <c r="G23" s="13">
        <v>6</v>
      </c>
      <c r="H23" s="13" t="s">
        <v>21</v>
      </c>
      <c r="I23" s="14">
        <v>7976</v>
      </c>
      <c r="J23" s="17">
        <v>3144.58</v>
      </c>
      <c r="K23" s="17">
        <v>3159</v>
      </c>
      <c r="L23" s="13">
        <v>39.4</v>
      </c>
      <c r="M23" s="13" t="s">
        <v>21</v>
      </c>
      <c r="N23" s="13">
        <v>39.6</v>
      </c>
      <c r="O23" s="13" t="s">
        <v>21</v>
      </c>
    </row>
    <row r="24" s="10" customFormat="1" ht="16.35" spans="1:15">
      <c r="A24" s="13" t="s">
        <v>20</v>
      </c>
      <c r="B24" s="13">
        <v>1995</v>
      </c>
      <c r="C24" s="13">
        <v>2</v>
      </c>
      <c r="D24" s="14">
        <v>134696</v>
      </c>
      <c r="E24" s="14">
        <v>113867</v>
      </c>
      <c r="F24" s="14">
        <v>6060</v>
      </c>
      <c r="G24" s="13">
        <v>5.7</v>
      </c>
      <c r="H24" s="13" t="s">
        <v>21</v>
      </c>
      <c r="I24" s="14">
        <v>7655</v>
      </c>
      <c r="J24" s="17">
        <v>2534.11</v>
      </c>
      <c r="K24" s="17">
        <v>2552.87</v>
      </c>
      <c r="L24" s="13">
        <v>33.1</v>
      </c>
      <c r="M24" s="13" t="s">
        <v>21</v>
      </c>
      <c r="N24" s="13">
        <v>33.3</v>
      </c>
      <c r="O24" s="13" t="s">
        <v>21</v>
      </c>
    </row>
    <row r="25" s="10" customFormat="1" ht="16.35" spans="1:15">
      <c r="A25" s="13" t="s">
        <v>20</v>
      </c>
      <c r="B25" s="13">
        <v>1995</v>
      </c>
      <c r="C25" s="13">
        <v>3</v>
      </c>
      <c r="D25" s="14">
        <v>135896</v>
      </c>
      <c r="E25" s="14">
        <v>113599</v>
      </c>
      <c r="F25" s="14">
        <v>6070</v>
      </c>
      <c r="G25" s="13">
        <v>5.7</v>
      </c>
      <c r="H25" s="13" t="s">
        <v>21</v>
      </c>
      <c r="I25" s="14">
        <v>7743</v>
      </c>
      <c r="J25" s="17">
        <v>2440.19</v>
      </c>
      <c r="K25" s="17">
        <v>2452.53</v>
      </c>
      <c r="L25" s="13">
        <v>31.5</v>
      </c>
      <c r="M25" s="13" t="s">
        <v>21</v>
      </c>
      <c r="N25" s="13">
        <v>31.7</v>
      </c>
      <c r="O25" s="13" t="s">
        <v>21</v>
      </c>
    </row>
    <row r="26" s="10" customFormat="1" ht="16.35" spans="1:15">
      <c r="A26" s="15" t="s">
        <v>20</v>
      </c>
      <c r="B26" s="15">
        <v>1995</v>
      </c>
      <c r="C26" s="15">
        <v>4</v>
      </c>
      <c r="D26" s="16">
        <v>135112</v>
      </c>
      <c r="E26" s="16">
        <v>115445</v>
      </c>
      <c r="F26" s="16">
        <v>6105</v>
      </c>
      <c r="G26" s="15">
        <v>5.3</v>
      </c>
      <c r="H26" s="15" t="s">
        <v>21</v>
      </c>
      <c r="I26" s="16">
        <v>7154</v>
      </c>
      <c r="J26" s="18">
        <v>2459.65</v>
      </c>
      <c r="K26" s="18">
        <v>2471.8</v>
      </c>
      <c r="L26" s="15">
        <v>34.4</v>
      </c>
      <c r="M26" s="15" t="s">
        <v>21</v>
      </c>
      <c r="N26" s="15">
        <v>34.6</v>
      </c>
      <c r="O26" s="15" t="s">
        <v>21</v>
      </c>
    </row>
    <row r="27" s="11" customFormat="1" ht="17.1" spans="1:17">
      <c r="A27" s="13" t="s">
        <v>20</v>
      </c>
      <c r="B27" s="13">
        <v>1996</v>
      </c>
      <c r="C27" s="13">
        <v>1</v>
      </c>
      <c r="D27" s="14">
        <v>134700</v>
      </c>
      <c r="E27" s="14">
        <v>113347</v>
      </c>
      <c r="F27" s="14">
        <v>6110</v>
      </c>
      <c r="G27" s="13">
        <v>6.1</v>
      </c>
      <c r="H27" s="13" t="s">
        <v>21</v>
      </c>
      <c r="I27" s="14">
        <v>8183</v>
      </c>
      <c r="J27" s="17">
        <v>3351.05</v>
      </c>
      <c r="K27" s="17">
        <v>3358.55</v>
      </c>
      <c r="L27" s="13">
        <v>40.9</v>
      </c>
      <c r="M27" s="13" t="s">
        <v>21</v>
      </c>
      <c r="N27" s="13">
        <v>41</v>
      </c>
      <c r="O27" s="13" t="s">
        <v>21</v>
      </c>
      <c r="P27" s="10"/>
      <c r="Q27" s="10"/>
    </row>
    <row r="28" s="11" customFormat="1" ht="16.35" spans="1:17">
      <c r="A28" s="13" t="s">
        <v>20</v>
      </c>
      <c r="B28" s="13">
        <v>1996</v>
      </c>
      <c r="C28" s="13">
        <v>2</v>
      </c>
      <c r="D28" s="14">
        <v>136470</v>
      </c>
      <c r="E28" s="14">
        <v>116395</v>
      </c>
      <c r="F28" s="14">
        <v>6154</v>
      </c>
      <c r="G28" s="13">
        <v>5.5</v>
      </c>
      <c r="H28" s="13" t="s">
        <v>21</v>
      </c>
      <c r="I28" s="14">
        <v>7479</v>
      </c>
      <c r="J28" s="17">
        <v>2568.62</v>
      </c>
      <c r="K28" s="17">
        <v>2575.7</v>
      </c>
      <c r="L28" s="13">
        <v>34.3</v>
      </c>
      <c r="M28" s="13" t="s">
        <v>21</v>
      </c>
      <c r="N28" s="13">
        <v>34.4</v>
      </c>
      <c r="O28" s="13" t="s">
        <v>21</v>
      </c>
      <c r="P28" s="10"/>
      <c r="Q28" s="10"/>
    </row>
    <row r="29" s="11" customFormat="1" ht="16.35" spans="1:17">
      <c r="A29" s="13" t="s">
        <v>20</v>
      </c>
      <c r="B29" s="13">
        <v>1996</v>
      </c>
      <c r="C29" s="13">
        <v>3</v>
      </c>
      <c r="D29" s="14">
        <v>138006</v>
      </c>
      <c r="E29" s="14">
        <v>116233</v>
      </c>
      <c r="F29" s="14">
        <v>6195</v>
      </c>
      <c r="G29" s="13">
        <v>5.3</v>
      </c>
      <c r="H29" s="13" t="s">
        <v>21</v>
      </c>
      <c r="I29" s="14">
        <v>7348</v>
      </c>
      <c r="J29" s="17">
        <v>2383.33</v>
      </c>
      <c r="K29" s="17">
        <v>2390.89</v>
      </c>
      <c r="L29" s="13">
        <v>32.4</v>
      </c>
      <c r="M29" s="13" t="s">
        <v>21</v>
      </c>
      <c r="N29" s="13">
        <v>32.5</v>
      </c>
      <c r="O29" s="13" t="s">
        <v>21</v>
      </c>
      <c r="P29" s="10"/>
      <c r="Q29" s="10"/>
    </row>
    <row r="30" s="11" customFormat="1" ht="16.35" spans="1:17">
      <c r="A30" s="13" t="s">
        <v>20</v>
      </c>
      <c r="B30" s="13">
        <v>1996</v>
      </c>
      <c r="C30" s="13">
        <v>4</v>
      </c>
      <c r="D30" s="14">
        <v>137789</v>
      </c>
      <c r="E30" s="14">
        <v>118336</v>
      </c>
      <c r="F30" s="14">
        <v>6234</v>
      </c>
      <c r="G30" s="13">
        <v>5</v>
      </c>
      <c r="H30" s="13" t="s">
        <v>21</v>
      </c>
      <c r="I30" s="14">
        <v>6917</v>
      </c>
      <c r="J30" s="17">
        <v>2353.68</v>
      </c>
      <c r="K30" s="17">
        <v>2353.76</v>
      </c>
      <c r="L30" s="13">
        <v>34</v>
      </c>
      <c r="M30" s="13" t="s">
        <v>21</v>
      </c>
      <c r="N30" s="13">
        <v>34</v>
      </c>
      <c r="O30" s="13" t="s">
        <v>21</v>
      </c>
      <c r="P30" s="10"/>
      <c r="Q30" s="10"/>
    </row>
    <row r="31" s="11" customFormat="1" ht="16.35" spans="1:17">
      <c r="A31" s="13" t="s">
        <v>20</v>
      </c>
      <c r="B31" s="13">
        <v>1997</v>
      </c>
      <c r="C31" s="13">
        <v>1</v>
      </c>
      <c r="D31" s="14">
        <v>137463</v>
      </c>
      <c r="E31" s="14">
        <v>116171</v>
      </c>
      <c r="F31" s="14">
        <v>6255</v>
      </c>
      <c r="G31" s="13">
        <v>5.7</v>
      </c>
      <c r="H31" s="13" t="s">
        <v>21</v>
      </c>
      <c r="I31" s="14">
        <v>7896</v>
      </c>
      <c r="J31" s="17">
        <v>2977.95</v>
      </c>
      <c r="K31" s="17">
        <v>2979</v>
      </c>
      <c r="L31" s="13">
        <v>37.7</v>
      </c>
      <c r="M31" s="13" t="s">
        <v>21</v>
      </c>
      <c r="N31" s="13">
        <v>37.7</v>
      </c>
      <c r="O31" s="13" t="s">
        <v>21</v>
      </c>
      <c r="P31" s="10"/>
      <c r="Q31" s="10"/>
    </row>
    <row r="32" s="11" customFormat="1" ht="16.35" spans="1:17">
      <c r="A32" s="13" t="s">
        <v>20</v>
      </c>
      <c r="B32" s="13">
        <v>1997</v>
      </c>
      <c r="C32" s="13">
        <v>2</v>
      </c>
      <c r="D32" s="14">
        <v>139001</v>
      </c>
      <c r="E32" s="14">
        <v>119461</v>
      </c>
      <c r="F32" s="14">
        <v>6298</v>
      </c>
      <c r="G32" s="13">
        <v>5</v>
      </c>
      <c r="H32" s="13" t="s">
        <v>21</v>
      </c>
      <c r="I32" s="14">
        <v>6929</v>
      </c>
      <c r="J32" s="17">
        <v>2285.5</v>
      </c>
      <c r="K32" s="17">
        <v>2287.58</v>
      </c>
      <c r="L32" s="13">
        <v>33</v>
      </c>
      <c r="M32" s="13" t="s">
        <v>21</v>
      </c>
      <c r="N32" s="13">
        <v>33</v>
      </c>
      <c r="O32" s="13" t="s">
        <v>21</v>
      </c>
      <c r="P32" s="10"/>
      <c r="Q32" s="10"/>
    </row>
    <row r="33" s="11" customFormat="1" ht="16.35" spans="1:17">
      <c r="A33" s="13" t="s">
        <v>20</v>
      </c>
      <c r="B33" s="13">
        <v>1997</v>
      </c>
      <c r="C33" s="13">
        <v>3</v>
      </c>
      <c r="D33" s="14">
        <v>140259</v>
      </c>
      <c r="E33" s="14">
        <v>119560</v>
      </c>
      <c r="F33" s="14">
        <v>6342</v>
      </c>
      <c r="G33" s="13">
        <v>4.9</v>
      </c>
      <c r="H33" s="13" t="s">
        <v>21</v>
      </c>
      <c r="I33" s="14">
        <v>6913</v>
      </c>
      <c r="J33" s="17">
        <v>2153.09</v>
      </c>
      <c r="K33" s="17">
        <v>2156.2</v>
      </c>
      <c r="L33" s="13">
        <v>31.1</v>
      </c>
      <c r="M33" s="13" t="s">
        <v>21</v>
      </c>
      <c r="N33" s="13">
        <v>31.2</v>
      </c>
      <c r="O33" s="13" t="s">
        <v>21</v>
      </c>
      <c r="P33" s="10"/>
      <c r="Q33" s="10"/>
    </row>
    <row r="34" s="11" customFormat="1" ht="16.35" spans="1:17">
      <c r="A34" s="13" t="s">
        <v>20</v>
      </c>
      <c r="B34" s="13">
        <v>1997</v>
      </c>
      <c r="C34" s="13">
        <v>4</v>
      </c>
      <c r="D34" s="14">
        <v>139700</v>
      </c>
      <c r="E34" s="14">
        <v>121442</v>
      </c>
      <c r="F34" s="14">
        <v>6376</v>
      </c>
      <c r="G34" s="13">
        <v>4.4</v>
      </c>
      <c r="H34" s="13" t="s">
        <v>21</v>
      </c>
      <c r="I34" s="14">
        <v>6195</v>
      </c>
      <c r="J34" s="17">
        <v>2110.03</v>
      </c>
      <c r="K34" s="17">
        <v>2125.57</v>
      </c>
      <c r="L34" s="13">
        <v>34.1</v>
      </c>
      <c r="M34" s="13" t="s">
        <v>21</v>
      </c>
      <c r="N34" s="13">
        <v>34.3</v>
      </c>
      <c r="O34" s="13" t="s">
        <v>21</v>
      </c>
      <c r="P34" s="10"/>
      <c r="Q34" s="10"/>
    </row>
    <row r="35" s="11" customFormat="1" ht="16.35" spans="1:17">
      <c r="A35" s="13" t="s">
        <v>20</v>
      </c>
      <c r="B35" s="13">
        <v>1998</v>
      </c>
      <c r="C35" s="13">
        <v>1</v>
      </c>
      <c r="D35" s="14">
        <v>139396</v>
      </c>
      <c r="E35" s="14">
        <v>119597</v>
      </c>
      <c r="F35" s="14">
        <v>6398</v>
      </c>
      <c r="G35" s="13">
        <v>5.1</v>
      </c>
      <c r="H35" s="13" t="s">
        <v>21</v>
      </c>
      <c r="I35" s="14">
        <v>7160</v>
      </c>
      <c r="J35" s="17">
        <v>2737.02</v>
      </c>
      <c r="K35" s="17">
        <v>2738.54</v>
      </c>
      <c r="L35" s="13">
        <v>38.2</v>
      </c>
      <c r="M35" s="13" t="s">
        <v>21</v>
      </c>
      <c r="N35" s="13">
        <v>38.2</v>
      </c>
      <c r="O35" s="13" t="s">
        <v>21</v>
      </c>
      <c r="P35" s="10"/>
      <c r="Q35" s="10"/>
    </row>
    <row r="36" s="11" customFormat="1" ht="16.35" spans="1:17">
      <c r="A36" s="13" t="s">
        <v>20</v>
      </c>
      <c r="B36" s="13">
        <v>1998</v>
      </c>
      <c r="C36" s="13">
        <v>2</v>
      </c>
      <c r="D36" s="14">
        <v>140536</v>
      </c>
      <c r="E36" s="14">
        <v>122850</v>
      </c>
      <c r="F36" s="14">
        <v>6437</v>
      </c>
      <c r="G36" s="13">
        <v>4.4</v>
      </c>
      <c r="H36" s="13" t="s">
        <v>21</v>
      </c>
      <c r="I36" s="14">
        <v>6227</v>
      </c>
      <c r="J36" s="17">
        <v>2114.37</v>
      </c>
      <c r="K36" s="17">
        <v>2133.13</v>
      </c>
      <c r="L36" s="13">
        <v>34</v>
      </c>
      <c r="M36" s="13" t="s">
        <v>21</v>
      </c>
      <c r="N36" s="13">
        <v>34.3</v>
      </c>
      <c r="O36" s="13" t="s">
        <v>21</v>
      </c>
      <c r="P36" s="10"/>
      <c r="Q36" s="10"/>
    </row>
    <row r="37" s="11" customFormat="1" ht="16.35" spans="1:17">
      <c r="A37" s="13" t="s">
        <v>20</v>
      </c>
      <c r="B37" s="13">
        <v>1998</v>
      </c>
      <c r="C37" s="13">
        <v>3</v>
      </c>
      <c r="D37" s="14">
        <v>141667</v>
      </c>
      <c r="E37" s="14">
        <v>122599</v>
      </c>
      <c r="F37" s="14">
        <v>6496</v>
      </c>
      <c r="G37" s="13">
        <v>4.6</v>
      </c>
      <c r="H37" s="13" t="s">
        <v>21</v>
      </c>
      <c r="I37" s="14">
        <v>6512</v>
      </c>
      <c r="J37" s="17">
        <v>2125.43</v>
      </c>
      <c r="K37" s="17">
        <v>2125.64</v>
      </c>
      <c r="L37" s="13">
        <v>32.6</v>
      </c>
      <c r="M37" s="13" t="s">
        <v>21</v>
      </c>
      <c r="N37" s="13">
        <v>32.6</v>
      </c>
      <c r="O37" s="13" t="s">
        <v>21</v>
      </c>
      <c r="P37" s="10"/>
      <c r="Q37" s="10"/>
    </row>
    <row r="38" s="11" customFormat="1" ht="16.35" spans="1:17">
      <c r="A38" s="13" t="s">
        <v>20</v>
      </c>
      <c r="B38" s="13">
        <v>1998</v>
      </c>
      <c r="C38" s="13">
        <v>4</v>
      </c>
      <c r="D38" s="14">
        <v>141411</v>
      </c>
      <c r="E38" s="14">
        <v>124660</v>
      </c>
      <c r="F38" s="14">
        <v>6543</v>
      </c>
      <c r="G38" s="13">
        <v>4.2</v>
      </c>
      <c r="H38" s="13" t="s">
        <v>21</v>
      </c>
      <c r="I38" s="14">
        <v>5937</v>
      </c>
      <c r="J38" s="17">
        <v>2069.34</v>
      </c>
      <c r="K38" s="17">
        <v>2075.42</v>
      </c>
      <c r="L38" s="13">
        <v>34.9</v>
      </c>
      <c r="M38" s="13" t="s">
        <v>21</v>
      </c>
      <c r="N38" s="13">
        <v>35</v>
      </c>
      <c r="O38" s="13" t="s">
        <v>21</v>
      </c>
      <c r="P38" s="10"/>
      <c r="Q38" s="10"/>
    </row>
    <row r="39" s="11" customFormat="1" ht="16.35" spans="1:17">
      <c r="A39" s="13" t="s">
        <v>20</v>
      </c>
      <c r="B39" s="13">
        <v>1999</v>
      </c>
      <c r="C39" s="13">
        <v>1</v>
      </c>
      <c r="D39" s="14">
        <v>141192</v>
      </c>
      <c r="E39" s="14">
        <v>122460</v>
      </c>
      <c r="F39" s="14">
        <v>6554</v>
      </c>
      <c r="G39" s="13">
        <v>4.7</v>
      </c>
      <c r="H39" s="13" t="s">
        <v>21</v>
      </c>
      <c r="I39" s="14">
        <v>6664</v>
      </c>
      <c r="J39" s="17">
        <v>2746.53</v>
      </c>
      <c r="K39" s="17">
        <v>2755.54</v>
      </c>
      <c r="L39" s="13">
        <v>41.2</v>
      </c>
      <c r="M39" s="13" t="s">
        <v>21</v>
      </c>
      <c r="N39" s="13">
        <v>41.3</v>
      </c>
      <c r="O39" s="13" t="s">
        <v>21</v>
      </c>
      <c r="P39" s="10"/>
      <c r="Q39" s="10"/>
    </row>
    <row r="40" s="11" customFormat="1" ht="16.35" spans="1:17">
      <c r="A40" s="13" t="s">
        <v>20</v>
      </c>
      <c r="B40" s="13">
        <v>1999</v>
      </c>
      <c r="C40" s="13">
        <v>2</v>
      </c>
      <c r="D40" s="14">
        <v>142284</v>
      </c>
      <c r="E40" s="14">
        <v>125629</v>
      </c>
      <c r="F40" s="14">
        <v>6600</v>
      </c>
      <c r="G40" s="13">
        <v>4.2</v>
      </c>
      <c r="H40" s="13" t="s">
        <v>21</v>
      </c>
      <c r="I40" s="14">
        <v>6024</v>
      </c>
      <c r="J40" s="17">
        <v>2151.07</v>
      </c>
      <c r="K40" s="17">
        <v>2153.45</v>
      </c>
      <c r="L40" s="13">
        <v>35.7</v>
      </c>
      <c r="M40" s="13" t="s">
        <v>21</v>
      </c>
      <c r="N40" s="13">
        <v>35.7</v>
      </c>
      <c r="O40" s="13" t="s">
        <v>21</v>
      </c>
      <c r="P40" s="10"/>
      <c r="Q40" s="10"/>
    </row>
    <row r="41" s="11" customFormat="1" ht="16.35" spans="1:17">
      <c r="A41" s="13" t="s">
        <v>20</v>
      </c>
      <c r="B41" s="13">
        <v>1999</v>
      </c>
      <c r="C41" s="13">
        <v>3</v>
      </c>
      <c r="D41" s="14">
        <v>143151</v>
      </c>
      <c r="E41" s="14">
        <v>125516</v>
      </c>
      <c r="F41" s="14">
        <v>6627</v>
      </c>
      <c r="G41" s="13">
        <v>4.3</v>
      </c>
      <c r="H41" s="13" t="s">
        <v>21</v>
      </c>
      <c r="I41" s="14">
        <v>6152</v>
      </c>
      <c r="J41" s="17">
        <v>2045.69</v>
      </c>
      <c r="K41" s="17">
        <v>2045.85</v>
      </c>
      <c r="L41" s="13">
        <v>33.3</v>
      </c>
      <c r="M41" s="13" t="s">
        <v>21</v>
      </c>
      <c r="N41" s="13">
        <v>33.3</v>
      </c>
      <c r="O41" s="13" t="s">
        <v>21</v>
      </c>
      <c r="P41" s="10"/>
      <c r="Q41" s="10"/>
    </row>
    <row r="42" s="11" customFormat="1" ht="16.35" spans="1:17">
      <c r="A42" s="13" t="s">
        <v>20</v>
      </c>
      <c r="B42" s="13">
        <v>1999</v>
      </c>
      <c r="C42" s="13">
        <v>4</v>
      </c>
      <c r="D42" s="14">
        <v>142905</v>
      </c>
      <c r="E42" s="14">
        <v>127515</v>
      </c>
      <c r="F42" s="14">
        <v>6621</v>
      </c>
      <c r="G42" s="13">
        <v>3.9</v>
      </c>
      <c r="H42" s="13" t="s">
        <v>21</v>
      </c>
      <c r="I42" s="14">
        <v>5538</v>
      </c>
      <c r="J42" s="17">
        <v>1962.54</v>
      </c>
      <c r="K42" s="17">
        <v>1962.54</v>
      </c>
      <c r="L42" s="13">
        <v>35.4</v>
      </c>
      <c r="M42" s="13" t="s">
        <v>21</v>
      </c>
      <c r="N42" s="13">
        <v>35.4</v>
      </c>
      <c r="O42" s="13" t="s">
        <v>21</v>
      </c>
      <c r="P42" s="10"/>
      <c r="Q42" s="10"/>
    </row>
    <row r="43" s="11" customFormat="1" ht="16.35" spans="1:17">
      <c r="A43" s="13" t="s">
        <v>20</v>
      </c>
      <c r="B43" s="13">
        <v>2000</v>
      </c>
      <c r="C43" s="13">
        <v>1</v>
      </c>
      <c r="D43" s="14">
        <v>143166</v>
      </c>
      <c r="E43" s="14">
        <v>125506</v>
      </c>
      <c r="F43" s="14">
        <v>6685</v>
      </c>
      <c r="G43" s="13">
        <v>4.4</v>
      </c>
      <c r="H43" s="13" t="s">
        <v>21</v>
      </c>
      <c r="I43" s="14">
        <v>6370</v>
      </c>
      <c r="J43" s="17">
        <v>2604.41</v>
      </c>
      <c r="K43" s="17">
        <v>2605.14</v>
      </c>
      <c r="L43" s="13">
        <v>40.9</v>
      </c>
      <c r="M43" s="13" t="s">
        <v>21</v>
      </c>
      <c r="N43" s="13">
        <v>40.9</v>
      </c>
      <c r="O43" s="13" t="s">
        <v>21</v>
      </c>
      <c r="P43" s="10"/>
      <c r="Q43" s="10"/>
    </row>
    <row r="44" s="11" customFormat="1" ht="16.35" spans="1:17">
      <c r="A44" s="13" t="s">
        <v>20</v>
      </c>
      <c r="B44" s="13">
        <v>2000</v>
      </c>
      <c r="C44" s="13">
        <v>2</v>
      </c>
      <c r="D44" s="14">
        <v>143991</v>
      </c>
      <c r="E44" s="14">
        <v>128563</v>
      </c>
      <c r="F44" s="14">
        <v>6747</v>
      </c>
      <c r="G44" s="13">
        <v>3.9</v>
      </c>
      <c r="H44" s="13" t="s">
        <v>21</v>
      </c>
      <c r="I44" s="14">
        <v>5674</v>
      </c>
      <c r="J44" s="17">
        <v>1949.26</v>
      </c>
      <c r="K44" s="17">
        <v>1950.94</v>
      </c>
      <c r="L44" s="13">
        <v>34.4</v>
      </c>
      <c r="M44" s="13" t="s">
        <v>21</v>
      </c>
      <c r="N44" s="13">
        <v>34.4</v>
      </c>
      <c r="O44" s="13" t="s">
        <v>21</v>
      </c>
      <c r="P44" s="10"/>
      <c r="Q44" s="10"/>
    </row>
    <row r="45" s="11" customFormat="1" ht="16.35" spans="1:17">
      <c r="A45" s="13" t="s">
        <v>20</v>
      </c>
      <c r="B45" s="13">
        <v>2000</v>
      </c>
      <c r="C45" s="13">
        <v>3</v>
      </c>
      <c r="D45" s="14">
        <v>144266</v>
      </c>
      <c r="E45" s="14">
        <v>128240</v>
      </c>
      <c r="F45" s="14">
        <v>6772</v>
      </c>
      <c r="G45" s="13">
        <v>4.1</v>
      </c>
      <c r="H45" s="13" t="s">
        <v>21</v>
      </c>
      <c r="I45" s="14">
        <v>5882</v>
      </c>
      <c r="J45" s="17">
        <v>1969.22</v>
      </c>
      <c r="K45" s="17">
        <v>1969.22</v>
      </c>
      <c r="L45" s="13">
        <v>33.5</v>
      </c>
      <c r="M45" s="13" t="s">
        <v>21</v>
      </c>
      <c r="N45" s="13">
        <v>33.5</v>
      </c>
      <c r="O45" s="13" t="s">
        <v>21</v>
      </c>
      <c r="P45" s="10"/>
      <c r="Q45" s="10"/>
    </row>
    <row r="46" s="11" customFormat="1" ht="16.35" spans="1:17">
      <c r="A46" s="15" t="s">
        <v>20</v>
      </c>
      <c r="B46" s="15">
        <v>2000</v>
      </c>
      <c r="C46" s="15">
        <v>4</v>
      </c>
      <c r="D46" s="16">
        <v>144150</v>
      </c>
      <c r="E46" s="16">
        <v>129907</v>
      </c>
      <c r="F46" s="16">
        <v>6817</v>
      </c>
      <c r="G46" s="15">
        <v>3.7</v>
      </c>
      <c r="H46" s="15" t="s">
        <v>21</v>
      </c>
      <c r="I46" s="16">
        <v>5386</v>
      </c>
      <c r="J46" s="18">
        <v>2080.14</v>
      </c>
      <c r="K46" s="18">
        <v>2080.14</v>
      </c>
      <c r="L46" s="15">
        <v>38.6</v>
      </c>
      <c r="M46" s="15" t="s">
        <v>21</v>
      </c>
      <c r="N46" s="15">
        <v>38.6</v>
      </c>
      <c r="O46" s="15" t="s">
        <v>21</v>
      </c>
      <c r="P46" s="10"/>
      <c r="Q46" s="10"/>
    </row>
    <row r="47" s="11" customFormat="1" ht="17.1" spans="1:17">
      <c r="A47" s="13" t="s">
        <v>20</v>
      </c>
      <c r="B47" s="13">
        <v>2001</v>
      </c>
      <c r="C47" s="13">
        <v>1</v>
      </c>
      <c r="D47" s="14">
        <v>144597</v>
      </c>
      <c r="E47" s="14">
        <v>127141</v>
      </c>
      <c r="F47" s="14">
        <v>6818</v>
      </c>
      <c r="G47" s="13">
        <v>4.6</v>
      </c>
      <c r="H47" s="13" t="s">
        <v>21</v>
      </c>
      <c r="I47" s="14">
        <v>6698</v>
      </c>
      <c r="J47" s="17">
        <v>3009.4</v>
      </c>
      <c r="K47" s="17">
        <v>3009.93</v>
      </c>
      <c r="L47" s="13">
        <v>44.9</v>
      </c>
      <c r="M47" s="13" t="s">
        <v>21</v>
      </c>
      <c r="N47" s="13">
        <v>44.9</v>
      </c>
      <c r="O47" s="13" t="s">
        <v>21</v>
      </c>
      <c r="P47" s="10"/>
      <c r="Q47" s="10"/>
    </row>
    <row r="48" s="11" customFormat="1" ht="16.35" spans="1:17">
      <c r="A48" s="13" t="s">
        <v>20</v>
      </c>
      <c r="B48" s="13">
        <v>2001</v>
      </c>
      <c r="C48" s="13">
        <v>2</v>
      </c>
      <c r="D48" s="14">
        <v>144924</v>
      </c>
      <c r="E48" s="14">
        <v>129125</v>
      </c>
      <c r="F48" s="14">
        <v>6861</v>
      </c>
      <c r="G48" s="13">
        <v>4.4</v>
      </c>
      <c r="H48" s="13" t="s">
        <v>21</v>
      </c>
      <c r="I48" s="14">
        <v>6403</v>
      </c>
      <c r="J48" s="17">
        <v>2722.14</v>
      </c>
      <c r="K48" s="17">
        <v>2724.02</v>
      </c>
      <c r="L48" s="13">
        <v>42.5</v>
      </c>
      <c r="M48" s="13" t="s">
        <v>21</v>
      </c>
      <c r="N48" s="13">
        <v>42.5</v>
      </c>
      <c r="O48" s="13" t="s">
        <v>21</v>
      </c>
      <c r="P48" s="10"/>
      <c r="Q48" s="10"/>
    </row>
    <row r="49" s="11" customFormat="1" ht="16.35" spans="1:17">
      <c r="A49" s="13" t="s">
        <v>20</v>
      </c>
      <c r="B49" s="13">
        <v>2001</v>
      </c>
      <c r="C49" s="13">
        <v>3</v>
      </c>
      <c r="D49" s="14">
        <v>145431</v>
      </c>
      <c r="E49" s="14">
        <v>127578</v>
      </c>
      <c r="F49" s="14">
        <v>6877</v>
      </c>
      <c r="G49" s="13">
        <v>4.8</v>
      </c>
      <c r="H49" s="13" t="s">
        <v>21</v>
      </c>
      <c r="I49" s="14">
        <v>7038</v>
      </c>
      <c r="J49" s="17">
        <v>2931.64</v>
      </c>
      <c r="K49" s="17">
        <v>2931.64</v>
      </c>
      <c r="L49" s="13">
        <v>41.7</v>
      </c>
      <c r="M49" s="13" t="s">
        <v>21</v>
      </c>
      <c r="N49" s="13">
        <v>41.7</v>
      </c>
      <c r="O49" s="13" t="s">
        <v>21</v>
      </c>
      <c r="P49" s="10"/>
      <c r="Q49" s="10"/>
    </row>
    <row r="50" s="11" customFormat="1" ht="16.35" spans="1:17">
      <c r="A50" s="13" t="s">
        <v>20</v>
      </c>
      <c r="B50" s="13">
        <v>2001</v>
      </c>
      <c r="C50" s="13">
        <v>4</v>
      </c>
      <c r="D50" s="14">
        <v>145288</v>
      </c>
      <c r="E50" s="14">
        <v>127847</v>
      </c>
      <c r="F50" s="14">
        <v>6923</v>
      </c>
      <c r="G50" s="13">
        <v>5.3</v>
      </c>
      <c r="H50" s="13" t="s">
        <v>21</v>
      </c>
      <c r="I50" s="14">
        <v>7673</v>
      </c>
      <c r="J50" s="17">
        <v>3431.34</v>
      </c>
      <c r="K50" s="17">
        <v>3431.34</v>
      </c>
      <c r="L50" s="13">
        <v>44.7</v>
      </c>
      <c r="M50" s="13" t="s">
        <v>21</v>
      </c>
      <c r="N50" s="13">
        <v>44.7</v>
      </c>
      <c r="O50" s="13" t="s">
        <v>21</v>
      </c>
      <c r="P50" s="10"/>
      <c r="Q50" s="10"/>
    </row>
    <row r="51" s="11" customFormat="1" ht="16.35" spans="1:17">
      <c r="A51" s="13" t="s">
        <v>20</v>
      </c>
      <c r="B51" s="13">
        <v>2002</v>
      </c>
      <c r="C51" s="13">
        <v>1</v>
      </c>
      <c r="D51" s="14">
        <v>145243</v>
      </c>
      <c r="E51" s="14">
        <v>124878</v>
      </c>
      <c r="F51" s="14">
        <v>6902</v>
      </c>
      <c r="G51" s="13">
        <v>6.2</v>
      </c>
      <c r="H51" s="13" t="s">
        <v>21</v>
      </c>
      <c r="I51" s="14">
        <v>9050</v>
      </c>
      <c r="J51" s="17">
        <v>4215.27</v>
      </c>
      <c r="K51" s="17">
        <v>4238.6</v>
      </c>
      <c r="L51" s="13">
        <v>46.6</v>
      </c>
      <c r="M51" s="13" t="s">
        <v>21</v>
      </c>
      <c r="N51" s="13">
        <v>46.8</v>
      </c>
      <c r="O51" s="13" t="s">
        <v>21</v>
      </c>
      <c r="P51" s="10"/>
      <c r="Q51" s="10"/>
    </row>
    <row r="52" s="11" customFormat="1" ht="16.35" spans="1:17">
      <c r="A52" s="13" t="s">
        <v>20</v>
      </c>
      <c r="B52" s="13">
        <v>2002</v>
      </c>
      <c r="C52" s="13">
        <v>2</v>
      </c>
      <c r="D52" s="14">
        <v>146195</v>
      </c>
      <c r="E52" s="14">
        <v>127373</v>
      </c>
      <c r="F52" s="14">
        <v>6941</v>
      </c>
      <c r="G52" s="13">
        <v>5.8</v>
      </c>
      <c r="H52" s="13" t="s">
        <v>21</v>
      </c>
      <c r="I52" s="14">
        <v>8497</v>
      </c>
      <c r="J52" s="17">
        <v>3598.88</v>
      </c>
      <c r="K52" s="17">
        <v>3601.8</v>
      </c>
      <c r="L52" s="13">
        <v>42.4</v>
      </c>
      <c r="M52" s="13" t="s">
        <v>21</v>
      </c>
      <c r="N52" s="13">
        <v>42.4</v>
      </c>
      <c r="O52" s="13" t="s">
        <v>21</v>
      </c>
      <c r="P52" s="10"/>
      <c r="Q52" s="10"/>
    </row>
    <row r="53" s="11" customFormat="1" ht="16.35" spans="1:17">
      <c r="A53" s="13" t="s">
        <v>20</v>
      </c>
      <c r="B53" s="13">
        <v>2002</v>
      </c>
      <c r="C53" s="13">
        <v>3</v>
      </c>
      <c r="D53" s="14">
        <v>146934</v>
      </c>
      <c r="E53" s="14">
        <v>126433</v>
      </c>
      <c r="F53" s="14">
        <v>6951</v>
      </c>
      <c r="G53" s="13">
        <v>5.7</v>
      </c>
      <c r="H53" s="13" t="s">
        <v>21</v>
      </c>
      <c r="I53" s="14">
        <v>8428</v>
      </c>
      <c r="J53" s="17">
        <v>3379.93</v>
      </c>
      <c r="K53" s="17">
        <v>3383.65</v>
      </c>
      <c r="L53" s="13">
        <v>40.1</v>
      </c>
      <c r="M53" s="13" t="s">
        <v>21</v>
      </c>
      <c r="N53" s="13">
        <v>40.1</v>
      </c>
      <c r="O53" s="13" t="s">
        <v>21</v>
      </c>
      <c r="P53" s="10"/>
      <c r="Q53" s="10"/>
    </row>
    <row r="54" s="11" customFormat="1" ht="16.35" spans="1:17">
      <c r="A54" s="13" t="s">
        <v>20</v>
      </c>
      <c r="B54" s="13">
        <v>2002</v>
      </c>
      <c r="C54" s="13">
        <v>4</v>
      </c>
      <c r="D54" s="14">
        <v>146270</v>
      </c>
      <c r="E54" s="14">
        <v>127495</v>
      </c>
      <c r="F54" s="14">
        <v>7003</v>
      </c>
      <c r="G54" s="13">
        <v>5.6</v>
      </c>
      <c r="H54" s="13" t="s">
        <v>21</v>
      </c>
      <c r="I54" s="14">
        <v>8206</v>
      </c>
      <c r="J54" s="17">
        <v>3374.66</v>
      </c>
      <c r="K54" s="17">
        <v>3390.68</v>
      </c>
      <c r="L54" s="13">
        <v>41.1</v>
      </c>
      <c r="M54" s="13" t="s">
        <v>21</v>
      </c>
      <c r="N54" s="13">
        <v>41.3</v>
      </c>
      <c r="O54" s="13" t="s">
        <v>21</v>
      </c>
      <c r="P54" s="10"/>
      <c r="Q54" s="10"/>
    </row>
    <row r="55" s="11" customFormat="1" ht="16.35" spans="1:17">
      <c r="A55" s="13" t="s">
        <v>20</v>
      </c>
      <c r="B55" s="13">
        <v>2003</v>
      </c>
      <c r="C55" s="13">
        <v>1</v>
      </c>
      <c r="D55" s="14">
        <v>146211</v>
      </c>
      <c r="E55" s="14">
        <v>124431</v>
      </c>
      <c r="F55" s="14">
        <v>7000</v>
      </c>
      <c r="G55" s="13">
        <v>6.4</v>
      </c>
      <c r="H55" s="13" t="s">
        <v>21</v>
      </c>
      <c r="I55" s="14">
        <v>9325</v>
      </c>
      <c r="J55" s="17">
        <v>4109.15</v>
      </c>
      <c r="K55" s="17">
        <v>4128.61</v>
      </c>
      <c r="L55" s="13">
        <v>44.1</v>
      </c>
      <c r="M55" s="13" t="s">
        <v>21</v>
      </c>
      <c r="N55" s="13">
        <v>44.3</v>
      </c>
      <c r="O55" s="13" t="s">
        <v>21</v>
      </c>
      <c r="P55" s="10"/>
      <c r="Q55" s="10"/>
    </row>
    <row r="56" s="11" customFormat="1" ht="16.35" spans="1:17">
      <c r="A56" s="13" t="s">
        <v>20</v>
      </c>
      <c r="B56" s="13">
        <v>2003</v>
      </c>
      <c r="C56" s="13">
        <v>2</v>
      </c>
      <c r="D56" s="14">
        <v>147246</v>
      </c>
      <c r="E56" s="14">
        <v>126654</v>
      </c>
      <c r="F56" s="14">
        <v>7030</v>
      </c>
      <c r="G56" s="13">
        <v>6.1</v>
      </c>
      <c r="H56" s="13" t="s">
        <v>21</v>
      </c>
      <c r="I56" s="14">
        <v>9000</v>
      </c>
      <c r="J56" s="17">
        <v>3562.5</v>
      </c>
      <c r="K56" s="17">
        <v>3578.26</v>
      </c>
      <c r="L56" s="13">
        <v>39.6</v>
      </c>
      <c r="M56" s="13" t="s">
        <v>21</v>
      </c>
      <c r="N56" s="13">
        <v>39.8</v>
      </c>
      <c r="O56" s="13" t="s">
        <v>21</v>
      </c>
      <c r="P56" s="10"/>
      <c r="Q56" s="10"/>
    </row>
    <row r="57" s="11" customFormat="1" ht="16.35" spans="1:17">
      <c r="A57" s="13" t="s">
        <v>20</v>
      </c>
      <c r="B57" s="13">
        <v>2003</v>
      </c>
      <c r="C57" s="13">
        <v>3</v>
      </c>
      <c r="D57" s="14">
        <v>147423</v>
      </c>
      <c r="E57" s="14">
        <v>125794</v>
      </c>
      <c r="F57" s="14">
        <v>7054</v>
      </c>
      <c r="G57" s="13">
        <v>6.1</v>
      </c>
      <c r="H57" s="13" t="s">
        <v>21</v>
      </c>
      <c r="I57" s="14">
        <v>8967</v>
      </c>
      <c r="J57" s="17">
        <v>3419.09</v>
      </c>
      <c r="K57" s="17">
        <v>3442.23</v>
      </c>
      <c r="L57" s="13">
        <v>38.1</v>
      </c>
      <c r="M57" s="13" t="s">
        <v>21</v>
      </c>
      <c r="N57" s="13">
        <v>38.4</v>
      </c>
      <c r="O57" s="13" t="s">
        <v>21</v>
      </c>
      <c r="P57" s="10"/>
      <c r="Q57" s="10"/>
    </row>
    <row r="58" s="11" customFormat="1" ht="16.35" spans="1:17">
      <c r="A58" s="13" t="s">
        <v>20</v>
      </c>
      <c r="B58" s="13">
        <v>2003</v>
      </c>
      <c r="C58" s="13">
        <v>4</v>
      </c>
      <c r="D58" s="14">
        <v>147143</v>
      </c>
      <c r="E58" s="14">
        <v>127457</v>
      </c>
      <c r="F58" s="14">
        <v>7098</v>
      </c>
      <c r="G58" s="13">
        <v>5.6</v>
      </c>
      <c r="H58" s="13" t="s">
        <v>21</v>
      </c>
      <c r="I58" s="14">
        <v>8215</v>
      </c>
      <c r="J58" s="17">
        <v>3248.16</v>
      </c>
      <c r="K58" s="17">
        <v>3278.57</v>
      </c>
      <c r="L58" s="13">
        <v>39.5</v>
      </c>
      <c r="M58" s="13" t="s">
        <v>21</v>
      </c>
      <c r="N58" s="13">
        <v>39.9</v>
      </c>
      <c r="O58" s="13" t="s">
        <v>21</v>
      </c>
      <c r="P58" s="10"/>
      <c r="Q58" s="10"/>
    </row>
    <row r="59" s="11" customFormat="1" ht="16.35" spans="1:17">
      <c r="A59" s="13" t="s">
        <v>20</v>
      </c>
      <c r="B59" s="13">
        <v>2004</v>
      </c>
      <c r="C59" s="13">
        <v>1</v>
      </c>
      <c r="D59" s="14">
        <v>146949</v>
      </c>
      <c r="E59" s="14">
        <v>125075</v>
      </c>
      <c r="F59" s="14">
        <v>7070</v>
      </c>
      <c r="G59" s="13">
        <v>6.1</v>
      </c>
      <c r="H59" s="13" t="s">
        <v>21</v>
      </c>
      <c r="I59" s="14">
        <v>9025</v>
      </c>
      <c r="J59" s="17">
        <v>3755.58</v>
      </c>
      <c r="K59" s="17">
        <v>3765.78</v>
      </c>
      <c r="L59" s="13">
        <v>41.6</v>
      </c>
      <c r="M59" s="13" t="s">
        <v>21</v>
      </c>
      <c r="N59" s="13">
        <v>41.7</v>
      </c>
      <c r="O59" s="13" t="s">
        <v>21</v>
      </c>
      <c r="P59" s="10"/>
      <c r="Q59" s="10"/>
    </row>
    <row r="60" s="11" customFormat="1" ht="16.35" spans="1:17">
      <c r="A60" s="13" t="s">
        <v>20</v>
      </c>
      <c r="B60" s="13">
        <v>2004</v>
      </c>
      <c r="C60" s="13">
        <v>2</v>
      </c>
      <c r="D60" s="14">
        <v>147823</v>
      </c>
      <c r="E60" s="14">
        <v>128129</v>
      </c>
      <c r="F60" s="14">
        <v>7126</v>
      </c>
      <c r="G60" s="13">
        <v>5.5</v>
      </c>
      <c r="H60" s="13" t="s">
        <v>21</v>
      </c>
      <c r="I60" s="14">
        <v>8188</v>
      </c>
      <c r="J60" s="17">
        <v>2903.76</v>
      </c>
      <c r="K60" s="17">
        <v>2905.92</v>
      </c>
      <c r="L60" s="13">
        <v>35.5</v>
      </c>
      <c r="M60" s="13" t="s">
        <v>21</v>
      </c>
      <c r="N60" s="13">
        <v>35.5</v>
      </c>
      <c r="O60" s="13" t="s">
        <v>21</v>
      </c>
      <c r="P60" s="10"/>
      <c r="Q60" s="10"/>
    </row>
    <row r="61" s="11" customFormat="1" ht="16.35" spans="1:17">
      <c r="A61" s="13" t="s">
        <v>20</v>
      </c>
      <c r="B61" s="13">
        <v>2004</v>
      </c>
      <c r="C61" s="13">
        <v>3</v>
      </c>
      <c r="D61" s="14">
        <v>148849</v>
      </c>
      <c r="E61" s="14">
        <v>127657</v>
      </c>
      <c r="F61" s="14">
        <v>7155</v>
      </c>
      <c r="G61" s="13">
        <v>5.4</v>
      </c>
      <c r="H61" s="13" t="s">
        <v>21</v>
      </c>
      <c r="I61" s="14">
        <v>8102</v>
      </c>
      <c r="J61" s="17">
        <v>2727.66</v>
      </c>
      <c r="K61" s="17">
        <v>2727.66</v>
      </c>
      <c r="L61" s="13">
        <v>33.7</v>
      </c>
      <c r="M61" s="13" t="s">
        <v>21</v>
      </c>
      <c r="N61" s="13">
        <v>33.7</v>
      </c>
      <c r="O61" s="13" t="s">
        <v>21</v>
      </c>
      <c r="P61" s="10"/>
      <c r="Q61" s="10"/>
    </row>
    <row r="62" s="11" customFormat="1" ht="16.35" spans="1:17">
      <c r="A62" s="13" t="s">
        <v>20</v>
      </c>
      <c r="B62" s="13">
        <v>2004</v>
      </c>
      <c r="C62" s="13">
        <v>4</v>
      </c>
      <c r="D62" s="14">
        <v>148667</v>
      </c>
      <c r="E62" s="14">
        <v>129610</v>
      </c>
      <c r="F62" s="14">
        <v>7204</v>
      </c>
      <c r="G62" s="13">
        <v>5.2</v>
      </c>
      <c r="H62" s="13" t="s">
        <v>21</v>
      </c>
      <c r="I62" s="14">
        <v>7699</v>
      </c>
      <c r="J62" s="17">
        <v>2632.12</v>
      </c>
      <c r="K62" s="17">
        <v>2632.12</v>
      </c>
      <c r="L62" s="13">
        <v>34.2</v>
      </c>
      <c r="M62" s="13" t="s">
        <v>21</v>
      </c>
      <c r="N62" s="13">
        <v>34.2</v>
      </c>
      <c r="O62" s="13" t="s">
        <v>21</v>
      </c>
      <c r="P62" s="10"/>
      <c r="Q62" s="10"/>
    </row>
    <row r="63" s="11" customFormat="1" ht="16.35" spans="1:17">
      <c r="A63" s="13" t="s">
        <v>20</v>
      </c>
      <c r="B63" s="13">
        <v>2005</v>
      </c>
      <c r="C63" s="13">
        <v>1</v>
      </c>
      <c r="D63" s="14">
        <v>148119</v>
      </c>
      <c r="E63" s="14">
        <v>127300</v>
      </c>
      <c r="F63" s="14">
        <v>7252</v>
      </c>
      <c r="G63" s="13">
        <v>5.7</v>
      </c>
      <c r="H63" s="13" t="s">
        <v>21</v>
      </c>
      <c r="I63" s="14">
        <v>8428</v>
      </c>
      <c r="J63" s="17">
        <v>3238.91</v>
      </c>
      <c r="K63" s="17">
        <v>3239.36</v>
      </c>
      <c r="L63" s="13">
        <v>38.4</v>
      </c>
      <c r="M63" s="13" t="s">
        <v>21</v>
      </c>
      <c r="N63" s="13">
        <v>38.4</v>
      </c>
      <c r="O63" s="13" t="s">
        <v>21</v>
      </c>
      <c r="P63" s="10"/>
      <c r="Q63" s="10"/>
    </row>
    <row r="64" s="11" customFormat="1" ht="16.35" spans="1:17">
      <c r="A64" s="13" t="s">
        <v>20</v>
      </c>
      <c r="B64" s="13">
        <v>2005</v>
      </c>
      <c r="C64" s="13">
        <v>2</v>
      </c>
      <c r="D64" s="14">
        <v>149797</v>
      </c>
      <c r="E64" s="14">
        <v>130447</v>
      </c>
      <c r="F64" s="14">
        <v>7247</v>
      </c>
      <c r="G64" s="13">
        <v>5.1</v>
      </c>
      <c r="H64" s="13" t="s">
        <v>21</v>
      </c>
      <c r="I64" s="14">
        <v>7617</v>
      </c>
      <c r="J64" s="17">
        <v>2556.21</v>
      </c>
      <c r="K64" s="17">
        <v>2558.35</v>
      </c>
      <c r="L64" s="13">
        <v>33.6</v>
      </c>
      <c r="M64" s="13" t="s">
        <v>21</v>
      </c>
      <c r="N64" s="13">
        <v>33.6</v>
      </c>
      <c r="O64" s="13" t="s">
        <v>21</v>
      </c>
      <c r="P64" s="10"/>
      <c r="Q64" s="10"/>
    </row>
    <row r="65" s="11" customFormat="1" ht="16.35" spans="1:17">
      <c r="A65" s="13" t="s">
        <v>20</v>
      </c>
      <c r="B65" s="13">
        <v>2005</v>
      </c>
      <c r="C65" s="13">
        <v>3</v>
      </c>
      <c r="D65" s="14">
        <v>151127</v>
      </c>
      <c r="E65" s="14">
        <v>130150</v>
      </c>
      <c r="F65" s="14">
        <v>7257</v>
      </c>
      <c r="G65" s="13">
        <v>5.1</v>
      </c>
      <c r="H65" s="13" t="s">
        <v>21</v>
      </c>
      <c r="I65" s="14">
        <v>7648</v>
      </c>
      <c r="J65" s="17">
        <v>2490.04</v>
      </c>
      <c r="K65" s="17">
        <v>2490.04</v>
      </c>
      <c r="L65" s="13">
        <v>32.6</v>
      </c>
      <c r="M65" s="13" t="s">
        <v>21</v>
      </c>
      <c r="N65" s="13">
        <v>32.6</v>
      </c>
      <c r="O65" s="13" t="s">
        <v>21</v>
      </c>
      <c r="P65" s="10"/>
      <c r="Q65" s="10"/>
    </row>
    <row r="66" s="11" customFormat="1" ht="16.35" spans="1:17">
      <c r="A66" s="15" t="s">
        <v>20</v>
      </c>
      <c r="B66" s="15">
        <v>2005</v>
      </c>
      <c r="C66" s="15">
        <v>4</v>
      </c>
      <c r="D66" s="16">
        <v>150858</v>
      </c>
      <c r="E66" s="16">
        <v>131821</v>
      </c>
      <c r="F66" s="16">
        <v>7319</v>
      </c>
      <c r="G66" s="15">
        <v>4.9</v>
      </c>
      <c r="H66" s="15" t="s">
        <v>21</v>
      </c>
      <c r="I66" s="16">
        <v>7317</v>
      </c>
      <c r="J66" s="18">
        <v>2586.03</v>
      </c>
      <c r="K66" s="18">
        <v>2587.64</v>
      </c>
      <c r="L66" s="15">
        <v>35.3</v>
      </c>
      <c r="M66" s="15" t="s">
        <v>21</v>
      </c>
      <c r="N66" s="15">
        <v>35.4</v>
      </c>
      <c r="O66" s="15" t="s">
        <v>21</v>
      </c>
      <c r="P66" s="10"/>
      <c r="Q66" s="10"/>
    </row>
    <row r="67" s="11" customFormat="1" ht="17.1" spans="1:17">
      <c r="A67" s="13" t="s">
        <v>20</v>
      </c>
      <c r="B67" s="13">
        <v>2006</v>
      </c>
      <c r="C67" s="13">
        <v>1</v>
      </c>
      <c r="D67" s="14">
        <v>150304</v>
      </c>
      <c r="E67" s="14">
        <v>129914</v>
      </c>
      <c r="F67" s="14">
        <v>7372</v>
      </c>
      <c r="G67" s="13">
        <v>5.1</v>
      </c>
      <c r="H67" s="13" t="s">
        <v>21</v>
      </c>
      <c r="I67" s="14">
        <v>7630</v>
      </c>
      <c r="J67" s="17">
        <v>3041</v>
      </c>
      <c r="K67" s="17">
        <v>3044.79</v>
      </c>
      <c r="L67" s="13">
        <v>39.9</v>
      </c>
      <c r="M67" s="13" t="s">
        <v>21</v>
      </c>
      <c r="N67" s="13">
        <v>39.9</v>
      </c>
      <c r="O67" s="13" t="s">
        <v>21</v>
      </c>
      <c r="P67" s="10"/>
      <c r="Q67" s="10"/>
    </row>
    <row r="68" s="11" customFormat="1" ht="16.35" spans="1:17">
      <c r="A68" s="13" t="s">
        <v>20</v>
      </c>
      <c r="B68" s="13">
        <v>2006</v>
      </c>
      <c r="C68" s="13">
        <v>2</v>
      </c>
      <c r="D68" s="14">
        <v>151888</v>
      </c>
      <c r="E68" s="14">
        <v>132776</v>
      </c>
      <c r="F68" s="14">
        <v>7477</v>
      </c>
      <c r="G68" s="13">
        <v>4.7</v>
      </c>
      <c r="H68" s="13" t="s">
        <v>21</v>
      </c>
      <c r="I68" s="14">
        <v>7086</v>
      </c>
      <c r="J68" s="17">
        <v>2361.24</v>
      </c>
      <c r="K68" s="17">
        <v>2363.52</v>
      </c>
      <c r="L68" s="13">
        <v>33.3</v>
      </c>
      <c r="M68" s="13" t="s">
        <v>21</v>
      </c>
      <c r="N68" s="13">
        <v>33.4</v>
      </c>
      <c r="O68" s="13" t="s">
        <v>21</v>
      </c>
      <c r="P68" s="10"/>
      <c r="Q68" s="10"/>
    </row>
    <row r="69" s="11" customFormat="1" ht="16.35" spans="1:17">
      <c r="A69" s="13" t="s">
        <v>20</v>
      </c>
      <c r="B69" s="13">
        <v>2006</v>
      </c>
      <c r="C69" s="13">
        <v>3</v>
      </c>
      <c r="D69" s="14">
        <v>153140</v>
      </c>
      <c r="E69" s="14">
        <v>132128</v>
      </c>
      <c r="F69" s="14">
        <v>7477</v>
      </c>
      <c r="G69" s="13">
        <v>4.7</v>
      </c>
      <c r="H69" s="13" t="s">
        <v>21</v>
      </c>
      <c r="I69" s="14">
        <v>7266</v>
      </c>
      <c r="J69" s="17">
        <v>2338.7</v>
      </c>
      <c r="K69" s="17">
        <v>2338.75</v>
      </c>
      <c r="L69" s="13">
        <v>32.2</v>
      </c>
      <c r="M69" s="13" t="s">
        <v>21</v>
      </c>
      <c r="N69" s="13">
        <v>32.2</v>
      </c>
      <c r="O69" s="13" t="s">
        <v>21</v>
      </c>
      <c r="P69" s="10"/>
      <c r="Q69" s="10"/>
    </row>
    <row r="70" s="11" customFormat="1" ht="16.35" spans="1:17">
      <c r="A70" s="13" t="s">
        <v>20</v>
      </c>
      <c r="B70" s="13">
        <v>2006</v>
      </c>
      <c r="C70" s="13">
        <v>4</v>
      </c>
      <c r="D70" s="14">
        <v>153206</v>
      </c>
      <c r="E70" s="14">
        <v>133889</v>
      </c>
      <c r="F70" s="14">
        <v>7520</v>
      </c>
      <c r="G70" s="13">
        <v>4.3</v>
      </c>
      <c r="H70" s="13" t="s">
        <v>21</v>
      </c>
      <c r="I70" s="14">
        <v>6556</v>
      </c>
      <c r="J70" s="17">
        <v>2384.37</v>
      </c>
      <c r="K70" s="17">
        <v>2384.38</v>
      </c>
      <c r="L70" s="13">
        <v>36.4</v>
      </c>
      <c r="M70" s="13" t="s">
        <v>21</v>
      </c>
      <c r="N70" s="13">
        <v>36.4</v>
      </c>
      <c r="O70" s="13" t="s">
        <v>21</v>
      </c>
      <c r="P70" s="10"/>
      <c r="Q70" s="10"/>
    </row>
    <row r="71" s="11" customFormat="1" ht="16.35" spans="1:17">
      <c r="A71" s="13" t="s">
        <v>20</v>
      </c>
      <c r="B71" s="13">
        <v>2007</v>
      </c>
      <c r="C71" s="13">
        <v>1</v>
      </c>
      <c r="D71" s="14">
        <v>152534</v>
      </c>
      <c r="E71" s="14">
        <v>131647</v>
      </c>
      <c r="F71" s="14">
        <v>7580</v>
      </c>
      <c r="G71" s="13">
        <v>4.9</v>
      </c>
      <c r="H71" s="13" t="s">
        <v>21</v>
      </c>
      <c r="I71" s="14">
        <v>7425</v>
      </c>
      <c r="J71" s="17">
        <v>3008.09</v>
      </c>
      <c r="K71" s="17">
        <v>3008.09</v>
      </c>
      <c r="L71" s="13">
        <v>40.5</v>
      </c>
      <c r="M71" s="13" t="s">
        <v>21</v>
      </c>
      <c r="N71" s="13">
        <v>40.5</v>
      </c>
      <c r="O71" s="13" t="s">
        <v>21</v>
      </c>
      <c r="P71" s="10"/>
      <c r="Q71" s="10"/>
    </row>
    <row r="72" s="11" customFormat="1" ht="16.35" spans="1:17">
      <c r="A72" s="13" t="s">
        <v>20</v>
      </c>
      <c r="B72" s="13">
        <v>2007</v>
      </c>
      <c r="C72" s="13">
        <v>2</v>
      </c>
      <c r="D72" s="14">
        <v>153295</v>
      </c>
      <c r="E72" s="14">
        <v>134383</v>
      </c>
      <c r="F72" s="14">
        <v>7622</v>
      </c>
      <c r="G72" s="13">
        <v>4.5</v>
      </c>
      <c r="H72" s="13" t="s">
        <v>21</v>
      </c>
      <c r="I72" s="14">
        <v>6883</v>
      </c>
      <c r="J72" s="17">
        <v>2449.8</v>
      </c>
      <c r="K72" s="17">
        <v>2449.8</v>
      </c>
      <c r="L72" s="13">
        <v>35.6</v>
      </c>
      <c r="M72" s="13" t="s">
        <v>21</v>
      </c>
      <c r="N72" s="13">
        <v>35.6</v>
      </c>
      <c r="O72" s="13" t="s">
        <v>21</v>
      </c>
      <c r="P72" s="10"/>
      <c r="Q72" s="10"/>
    </row>
    <row r="73" s="11" customFormat="1" ht="16.35" spans="1:17">
      <c r="A73" s="13" t="s">
        <v>20</v>
      </c>
      <c r="B73" s="13">
        <v>2007</v>
      </c>
      <c r="C73" s="13">
        <v>3</v>
      </c>
      <c r="D73" s="14">
        <v>154342</v>
      </c>
      <c r="E73" s="14">
        <v>133567</v>
      </c>
      <c r="F73" s="14">
        <v>7621</v>
      </c>
      <c r="G73" s="13">
        <v>4.7</v>
      </c>
      <c r="H73" s="13" t="s">
        <v>21</v>
      </c>
      <c r="I73" s="14">
        <v>7315</v>
      </c>
      <c r="J73" s="17">
        <v>2450.76</v>
      </c>
      <c r="K73" s="17">
        <v>2450.76</v>
      </c>
      <c r="L73" s="13">
        <v>33.5</v>
      </c>
      <c r="M73" s="13" t="s">
        <v>21</v>
      </c>
      <c r="N73" s="13">
        <v>33.5</v>
      </c>
      <c r="O73" s="13" t="s">
        <v>21</v>
      </c>
      <c r="P73" s="10"/>
      <c r="Q73" s="10"/>
    </row>
    <row r="74" s="11" customFormat="1" ht="16.35" spans="1:17">
      <c r="A74" s="13" t="s">
        <v>20</v>
      </c>
      <c r="B74" s="13">
        <v>2007</v>
      </c>
      <c r="C74" s="13">
        <v>4</v>
      </c>
      <c r="D74" s="14">
        <v>154144</v>
      </c>
      <c r="E74" s="14">
        <v>135155</v>
      </c>
      <c r="F74" s="14">
        <v>7665</v>
      </c>
      <c r="G74" s="13">
        <v>4.6</v>
      </c>
      <c r="H74" s="13" t="s">
        <v>21</v>
      </c>
      <c r="I74" s="14">
        <v>7137</v>
      </c>
      <c r="J74" s="17">
        <v>2575.89</v>
      </c>
      <c r="K74" s="17">
        <v>2575.89</v>
      </c>
      <c r="L74" s="13">
        <v>36.1</v>
      </c>
      <c r="M74" s="13" t="s">
        <v>21</v>
      </c>
      <c r="N74" s="13">
        <v>36.1</v>
      </c>
      <c r="O74" s="13" t="s">
        <v>21</v>
      </c>
      <c r="P74" s="10"/>
      <c r="Q74" s="10"/>
    </row>
    <row r="75" s="11" customFormat="1" ht="16.35" spans="1:17">
      <c r="A75" s="13" t="s">
        <v>20</v>
      </c>
      <c r="B75" s="13">
        <v>2008</v>
      </c>
      <c r="C75" s="13">
        <v>1</v>
      </c>
      <c r="D75" s="14">
        <v>153709</v>
      </c>
      <c r="E75" s="14">
        <v>132408</v>
      </c>
      <c r="F75" s="14">
        <v>7699</v>
      </c>
      <c r="G75" s="13">
        <v>5.3</v>
      </c>
      <c r="H75" s="13" t="s">
        <v>21</v>
      </c>
      <c r="I75" s="14">
        <v>8210</v>
      </c>
      <c r="J75" s="17">
        <v>3368.55</v>
      </c>
      <c r="K75" s="17">
        <v>3368.55</v>
      </c>
      <c r="L75" s="13">
        <v>41</v>
      </c>
      <c r="M75" s="13" t="s">
        <v>21</v>
      </c>
      <c r="N75" s="13">
        <v>41</v>
      </c>
      <c r="O75" s="13" t="s">
        <v>21</v>
      </c>
      <c r="P75" s="10"/>
      <c r="Q75" s="10"/>
    </row>
    <row r="76" s="11" customFormat="1" ht="16.35" spans="1:17">
      <c r="A76" s="13" t="s">
        <v>20</v>
      </c>
      <c r="B76" s="13">
        <v>2008</v>
      </c>
      <c r="C76" s="13">
        <v>2</v>
      </c>
      <c r="D76" s="14">
        <v>155119</v>
      </c>
      <c r="E76" s="14">
        <v>134395</v>
      </c>
      <c r="F76" s="14">
        <v>7684</v>
      </c>
      <c r="G76" s="13">
        <v>5.3</v>
      </c>
      <c r="H76" s="13" t="s">
        <v>21</v>
      </c>
      <c r="I76" s="14">
        <v>8235</v>
      </c>
      <c r="J76" s="17">
        <v>2945.47</v>
      </c>
      <c r="K76" s="17">
        <v>2945.95</v>
      </c>
      <c r="L76" s="13">
        <v>35.8</v>
      </c>
      <c r="M76" s="13" t="s">
        <v>21</v>
      </c>
      <c r="N76" s="13">
        <v>35.8</v>
      </c>
      <c r="O76" s="13" t="s">
        <v>21</v>
      </c>
      <c r="P76" s="10"/>
      <c r="Q76" s="10"/>
    </row>
    <row r="77" s="11" customFormat="1" ht="16.35" spans="1:17">
      <c r="A77" s="13" t="s">
        <v>20</v>
      </c>
      <c r="B77" s="13">
        <v>2008</v>
      </c>
      <c r="C77" s="13">
        <v>3</v>
      </c>
      <c r="D77" s="14">
        <v>156193</v>
      </c>
      <c r="E77" s="14">
        <v>132779</v>
      </c>
      <c r="F77" s="14">
        <v>7674</v>
      </c>
      <c r="G77" s="13">
        <v>6.1</v>
      </c>
      <c r="H77" s="13" t="s">
        <v>21</v>
      </c>
      <c r="I77" s="14">
        <v>9501</v>
      </c>
      <c r="J77" s="17">
        <v>3165.41</v>
      </c>
      <c r="K77" s="17">
        <v>3167.99</v>
      </c>
      <c r="L77" s="13">
        <v>33.3</v>
      </c>
      <c r="M77" s="13" t="s">
        <v>21</v>
      </c>
      <c r="N77" s="13">
        <v>33.3</v>
      </c>
      <c r="O77" s="13" t="s">
        <v>21</v>
      </c>
      <c r="P77" s="10"/>
      <c r="Q77" s="10"/>
    </row>
    <row r="78" s="11" customFormat="1" ht="16.35" spans="1:17">
      <c r="A78" s="13" t="s">
        <v>20</v>
      </c>
      <c r="B78" s="13">
        <v>2008</v>
      </c>
      <c r="C78" s="13">
        <v>4</v>
      </c>
      <c r="D78" s="14">
        <v>155407</v>
      </c>
      <c r="E78" s="14">
        <v>132720</v>
      </c>
      <c r="F78" s="14">
        <v>7703</v>
      </c>
      <c r="G78" s="13">
        <v>6.6</v>
      </c>
      <c r="H78" s="13" t="s">
        <v>21</v>
      </c>
      <c r="I78" s="14">
        <v>10292</v>
      </c>
      <c r="J78" s="17">
        <v>3928.32</v>
      </c>
      <c r="K78" s="17">
        <v>3941.42</v>
      </c>
      <c r="L78" s="13">
        <v>38.2</v>
      </c>
      <c r="M78" s="13" t="s">
        <v>21</v>
      </c>
      <c r="N78" s="13">
        <v>38.3</v>
      </c>
      <c r="O78" s="13" t="s">
        <v>21</v>
      </c>
      <c r="P78" s="10"/>
      <c r="Q78" s="10"/>
    </row>
    <row r="79" s="11" customFormat="1" ht="16.35" spans="1:17">
      <c r="A79" s="13" t="s">
        <v>20</v>
      </c>
      <c r="B79" s="13">
        <v>2009</v>
      </c>
      <c r="C79" s="13">
        <v>1</v>
      </c>
      <c r="D79" s="14">
        <v>154680</v>
      </c>
      <c r="E79" s="14">
        <v>127329</v>
      </c>
      <c r="F79" s="14">
        <v>7680</v>
      </c>
      <c r="G79" s="13">
        <v>8.9</v>
      </c>
      <c r="H79" s="13" t="s">
        <v>21</v>
      </c>
      <c r="I79" s="14">
        <v>13692</v>
      </c>
      <c r="J79" s="17">
        <v>6047.77</v>
      </c>
      <c r="K79" s="17">
        <v>6061.07</v>
      </c>
      <c r="L79" s="13">
        <v>44.2</v>
      </c>
      <c r="M79" s="13" t="s">
        <v>21</v>
      </c>
      <c r="N79" s="13">
        <v>44.3</v>
      </c>
      <c r="O79" s="13" t="s">
        <v>21</v>
      </c>
      <c r="P79" s="10"/>
      <c r="Q79" s="10"/>
    </row>
    <row r="80" s="11" customFormat="1" ht="16.35" spans="1:17">
      <c r="A80" s="13" t="s">
        <v>20</v>
      </c>
      <c r="B80" s="13">
        <v>2009</v>
      </c>
      <c r="C80" s="13">
        <v>2</v>
      </c>
      <c r="D80" s="14">
        <v>155692</v>
      </c>
      <c r="E80" s="14">
        <v>127636</v>
      </c>
      <c r="F80" s="14">
        <v>7635</v>
      </c>
      <c r="G80" s="13">
        <v>9.2</v>
      </c>
      <c r="H80" s="13" t="s">
        <v>21</v>
      </c>
      <c r="I80" s="14">
        <v>14271</v>
      </c>
      <c r="J80" s="17">
        <v>6200.13</v>
      </c>
      <c r="K80" s="17">
        <v>6529.74</v>
      </c>
      <c r="L80" s="13">
        <v>43.4</v>
      </c>
      <c r="M80" s="13" t="s">
        <v>21</v>
      </c>
      <c r="N80" s="13">
        <v>45.8</v>
      </c>
      <c r="O80" s="13" t="s">
        <v>21</v>
      </c>
      <c r="P80" s="10"/>
      <c r="Q80" s="10"/>
    </row>
    <row r="81" s="11" customFormat="1" ht="16.35" spans="1:17">
      <c r="A81" s="13" t="s">
        <v>20</v>
      </c>
      <c r="B81" s="13">
        <v>2009</v>
      </c>
      <c r="C81" s="13">
        <v>3</v>
      </c>
      <c r="D81" s="14">
        <v>155889</v>
      </c>
      <c r="E81" s="14">
        <v>125512</v>
      </c>
      <c r="F81" s="14">
        <v>7600</v>
      </c>
      <c r="G81" s="13">
        <v>9.6</v>
      </c>
      <c r="H81" s="13" t="s">
        <v>21</v>
      </c>
      <c r="I81" s="14">
        <v>15031</v>
      </c>
      <c r="J81" s="17">
        <v>5732.72</v>
      </c>
      <c r="K81" s="17">
        <v>6587.5</v>
      </c>
      <c r="L81" s="13">
        <v>38.1</v>
      </c>
      <c r="M81" s="13" t="s">
        <v>21</v>
      </c>
      <c r="N81" s="13">
        <v>43.8</v>
      </c>
      <c r="O81" s="13" t="s">
        <v>21</v>
      </c>
      <c r="P81" s="10"/>
      <c r="Q81" s="10"/>
    </row>
    <row r="82" s="11" customFormat="1" ht="16.35" spans="1:17">
      <c r="A82" s="13" t="s">
        <v>20</v>
      </c>
      <c r="B82" s="13">
        <v>2009</v>
      </c>
      <c r="C82" s="13">
        <v>4</v>
      </c>
      <c r="D82" s="14">
        <v>154246</v>
      </c>
      <c r="E82" s="14">
        <v>126574</v>
      </c>
      <c r="F82" s="14">
        <v>7609</v>
      </c>
      <c r="G82" s="13">
        <v>9.5</v>
      </c>
      <c r="H82" s="13" t="s">
        <v>21</v>
      </c>
      <c r="I82" s="14">
        <v>14727</v>
      </c>
      <c r="J82" s="17">
        <v>5149.85</v>
      </c>
      <c r="K82" s="17">
        <v>5806.29</v>
      </c>
      <c r="L82" s="13">
        <v>35</v>
      </c>
      <c r="M82" s="13" t="s">
        <v>21</v>
      </c>
      <c r="N82" s="13">
        <v>39.4</v>
      </c>
      <c r="O82" s="13" t="s">
        <v>21</v>
      </c>
      <c r="P82" s="10"/>
      <c r="Q82" s="10"/>
    </row>
    <row r="83" s="11" customFormat="1" ht="16.35" spans="1:17">
      <c r="A83" s="13" t="s">
        <v>20</v>
      </c>
      <c r="B83" s="13">
        <v>2010</v>
      </c>
      <c r="C83" s="13">
        <v>1</v>
      </c>
      <c r="D83" s="14">
        <v>154382</v>
      </c>
      <c r="E83" s="14">
        <v>123651</v>
      </c>
      <c r="F83" s="14">
        <v>7602</v>
      </c>
      <c r="G83" s="13">
        <v>10.4</v>
      </c>
      <c r="H83" s="13" t="s">
        <v>21</v>
      </c>
      <c r="I83" s="14">
        <v>16128</v>
      </c>
      <c r="J83" s="17">
        <v>5504.04</v>
      </c>
      <c r="K83" s="17">
        <v>5738.87</v>
      </c>
      <c r="L83" s="13">
        <v>34.1</v>
      </c>
      <c r="M83" s="13" t="s">
        <v>21</v>
      </c>
      <c r="N83" s="13">
        <v>35.6</v>
      </c>
      <c r="O83" s="13" t="s">
        <v>21</v>
      </c>
      <c r="P83" s="10"/>
      <c r="Q83" s="10"/>
    </row>
    <row r="84" s="11" customFormat="1" ht="16.35" spans="1:17">
      <c r="A84" s="13" t="s">
        <v>20</v>
      </c>
      <c r="B84" s="13">
        <v>2010</v>
      </c>
      <c r="C84" s="13">
        <v>2</v>
      </c>
      <c r="D84" s="14">
        <v>155977</v>
      </c>
      <c r="E84" s="14">
        <v>126504</v>
      </c>
      <c r="F84" s="14">
        <v>7562</v>
      </c>
      <c r="G84" s="13">
        <v>9.5</v>
      </c>
      <c r="H84" s="13" t="s">
        <v>21</v>
      </c>
      <c r="I84" s="14">
        <v>14888</v>
      </c>
      <c r="J84" s="17">
        <v>4510.48</v>
      </c>
      <c r="K84" s="17">
        <v>4910.72</v>
      </c>
      <c r="L84" s="13">
        <v>30.3</v>
      </c>
      <c r="M84" s="13" t="s">
        <v>21</v>
      </c>
      <c r="N84" s="13">
        <v>33</v>
      </c>
      <c r="O84" s="13" t="s">
        <v>21</v>
      </c>
      <c r="P84" s="10"/>
      <c r="Q84" s="10"/>
    </row>
    <row r="85" s="11" customFormat="1" ht="16.35" spans="1:17">
      <c r="A85" s="13" t="s">
        <v>20</v>
      </c>
      <c r="B85" s="13">
        <v>2010</v>
      </c>
      <c r="C85" s="13">
        <v>3</v>
      </c>
      <c r="D85" s="14">
        <v>156400</v>
      </c>
      <c r="E85" s="14">
        <v>125594</v>
      </c>
      <c r="F85" s="14">
        <v>7511</v>
      </c>
      <c r="G85" s="13">
        <v>9.6</v>
      </c>
      <c r="H85" s="13" t="s">
        <v>21</v>
      </c>
      <c r="I85" s="14">
        <v>14944</v>
      </c>
      <c r="J85" s="17">
        <v>4223.32</v>
      </c>
      <c r="K85" s="17">
        <v>5103.87</v>
      </c>
      <c r="L85" s="13">
        <v>28.3</v>
      </c>
      <c r="M85" s="13" t="s">
        <v>21</v>
      </c>
      <c r="N85" s="13">
        <v>34.2</v>
      </c>
      <c r="O85" s="13" t="s">
        <v>21</v>
      </c>
      <c r="P85" s="10"/>
      <c r="Q85" s="10"/>
    </row>
    <row r="86" s="11" customFormat="1" ht="16.35" spans="1:17">
      <c r="A86" s="15" t="s">
        <v>20</v>
      </c>
      <c r="B86" s="15">
        <v>2010</v>
      </c>
      <c r="C86" s="15">
        <v>4</v>
      </c>
      <c r="D86" s="14">
        <v>155334</v>
      </c>
      <c r="E86" s="14">
        <v>127516</v>
      </c>
      <c r="F86" s="14">
        <v>7539</v>
      </c>
      <c r="G86" s="13">
        <v>9.2</v>
      </c>
      <c r="H86" s="13" t="s">
        <v>21</v>
      </c>
      <c r="I86" s="14">
        <v>14313</v>
      </c>
      <c r="J86" s="17">
        <v>3971.54</v>
      </c>
      <c r="K86" s="17">
        <v>4953.62</v>
      </c>
      <c r="L86" s="13">
        <v>27.7</v>
      </c>
      <c r="M86" s="13" t="s">
        <v>21</v>
      </c>
      <c r="N86" s="13">
        <v>34.6</v>
      </c>
      <c r="O86" s="13" t="s">
        <v>21</v>
      </c>
      <c r="P86" s="10"/>
      <c r="Q86" s="10"/>
    </row>
    <row r="87" s="11" customFormat="1" ht="17.1" spans="1:17">
      <c r="A87" s="13" t="s">
        <v>20</v>
      </c>
      <c r="B87" s="13">
        <v>2011</v>
      </c>
      <c r="C87" s="13">
        <v>1</v>
      </c>
      <c r="D87" s="14">
        <v>154799</v>
      </c>
      <c r="E87" s="14">
        <v>125166</v>
      </c>
      <c r="F87" s="14">
        <v>7513</v>
      </c>
      <c r="G87" s="13">
        <v>9.6</v>
      </c>
      <c r="H87" s="13" t="s">
        <v>21</v>
      </c>
      <c r="I87" s="14">
        <v>14795</v>
      </c>
      <c r="J87" s="17">
        <v>4457.97</v>
      </c>
      <c r="K87" s="17">
        <v>5319.04</v>
      </c>
      <c r="L87" s="13">
        <v>30.1</v>
      </c>
      <c r="M87" s="13" t="s">
        <v>21</v>
      </c>
      <c r="N87" s="13">
        <v>36</v>
      </c>
      <c r="O87" s="13" t="s">
        <v>21</v>
      </c>
      <c r="P87" s="10"/>
      <c r="Q87" s="10"/>
    </row>
    <row r="88" s="11" customFormat="1" ht="16.35" spans="1:17">
      <c r="A88" s="13" t="s">
        <v>20</v>
      </c>
      <c r="B88" s="13">
        <v>2011</v>
      </c>
      <c r="C88" s="13">
        <v>2</v>
      </c>
      <c r="D88" s="14">
        <v>155744</v>
      </c>
      <c r="E88" s="14">
        <v>128040</v>
      </c>
      <c r="F88" s="14">
        <v>7548</v>
      </c>
      <c r="G88" s="13">
        <v>9</v>
      </c>
      <c r="H88" s="13" t="s">
        <v>21</v>
      </c>
      <c r="I88" s="14">
        <v>13967</v>
      </c>
      <c r="J88" s="17">
        <v>3644.3</v>
      </c>
      <c r="K88" s="17">
        <v>4326.53</v>
      </c>
      <c r="L88" s="13">
        <v>26.1</v>
      </c>
      <c r="M88" s="13" t="s">
        <v>21</v>
      </c>
      <c r="N88" s="13">
        <v>31</v>
      </c>
      <c r="O88" s="13" t="s">
        <v>21</v>
      </c>
      <c r="P88" s="10"/>
      <c r="Q88" s="10"/>
    </row>
    <row r="89" s="11" customFormat="1" ht="16.35" spans="1:17">
      <c r="A89" s="13" t="s">
        <v>20</v>
      </c>
      <c r="B89" s="13">
        <v>2011</v>
      </c>
      <c r="C89" s="13">
        <v>3</v>
      </c>
      <c r="D89" s="14">
        <v>156521</v>
      </c>
      <c r="E89" s="14">
        <v>127442</v>
      </c>
      <c r="F89" s="14">
        <v>7560</v>
      </c>
      <c r="G89" s="13">
        <v>9.1</v>
      </c>
      <c r="H89" s="13" t="s">
        <v>21</v>
      </c>
      <c r="I89" s="14">
        <v>14271</v>
      </c>
      <c r="J89" s="17">
        <v>3510.29</v>
      </c>
      <c r="K89" s="17">
        <v>4087.71</v>
      </c>
      <c r="L89" s="13">
        <v>24.6</v>
      </c>
      <c r="M89" s="13" t="s">
        <v>21</v>
      </c>
      <c r="N89" s="13">
        <v>28.6</v>
      </c>
      <c r="O89" s="13" t="s">
        <v>21</v>
      </c>
      <c r="P89" s="10"/>
      <c r="Q89" s="10"/>
    </row>
    <row r="90" s="11" customFormat="1" ht="16.35" spans="1:17">
      <c r="A90" s="13" t="s">
        <v>20</v>
      </c>
      <c r="B90" s="13">
        <v>2011</v>
      </c>
      <c r="C90" s="13">
        <v>4</v>
      </c>
      <c r="D90" s="14">
        <v>155899</v>
      </c>
      <c r="E90" s="14">
        <v>129270</v>
      </c>
      <c r="F90" s="14">
        <v>7609</v>
      </c>
      <c r="G90" s="13">
        <v>8.4</v>
      </c>
      <c r="H90" s="13" t="s">
        <v>21</v>
      </c>
      <c r="I90" s="14">
        <v>13073</v>
      </c>
      <c r="J90" s="17">
        <v>3389.82</v>
      </c>
      <c r="K90" s="17">
        <v>3971.99</v>
      </c>
      <c r="L90" s="13">
        <v>25.9</v>
      </c>
      <c r="M90" s="13" t="s">
        <v>21</v>
      </c>
      <c r="N90" s="13">
        <v>30.4</v>
      </c>
      <c r="O90" s="13" t="s">
        <v>21</v>
      </c>
      <c r="P90" s="10"/>
      <c r="Q90" s="10"/>
    </row>
    <row r="91" s="11" customFormat="1" ht="16.35" spans="1:17">
      <c r="A91" s="13" t="s">
        <v>20</v>
      </c>
      <c r="B91" s="13">
        <v>2012</v>
      </c>
      <c r="C91" s="13">
        <v>1</v>
      </c>
      <c r="D91" s="14">
        <v>155230</v>
      </c>
      <c r="E91" s="14">
        <v>127395</v>
      </c>
      <c r="F91" s="14">
        <v>7640</v>
      </c>
      <c r="G91" s="13">
        <v>8.7</v>
      </c>
      <c r="H91" s="13" t="s">
        <v>21</v>
      </c>
      <c r="I91" s="14">
        <v>13481</v>
      </c>
      <c r="J91" s="17">
        <v>3953.74</v>
      </c>
      <c r="K91" s="17">
        <v>4459.84</v>
      </c>
      <c r="L91" s="13">
        <v>29.3</v>
      </c>
      <c r="M91" s="13" t="s">
        <v>21</v>
      </c>
      <c r="N91" s="13">
        <v>33.1</v>
      </c>
      <c r="O91" s="13" t="s">
        <v>21</v>
      </c>
      <c r="P91" s="10"/>
      <c r="Q91" s="10"/>
    </row>
    <row r="92" s="11" customFormat="1" ht="16.35" spans="1:17">
      <c r="A92" s="13" t="s">
        <v>20</v>
      </c>
      <c r="B92" s="13">
        <v>2012</v>
      </c>
      <c r="C92" s="13">
        <v>2</v>
      </c>
      <c r="D92" s="14">
        <v>156347</v>
      </c>
      <c r="E92" s="14">
        <v>130255</v>
      </c>
      <c r="F92" s="14">
        <v>7687</v>
      </c>
      <c r="G92" s="13">
        <v>8.1</v>
      </c>
      <c r="H92" s="13" t="s">
        <v>21</v>
      </c>
      <c r="I92" s="14">
        <v>12629</v>
      </c>
      <c r="J92" s="17">
        <v>3200.85</v>
      </c>
      <c r="K92" s="17">
        <v>3454.86</v>
      </c>
      <c r="L92" s="13">
        <v>25.3</v>
      </c>
      <c r="M92" s="13" t="s">
        <v>21</v>
      </c>
      <c r="N92" s="13">
        <v>27.4</v>
      </c>
      <c r="O92" s="13" t="s">
        <v>21</v>
      </c>
      <c r="P92" s="10"/>
      <c r="Q92" s="10"/>
    </row>
    <row r="93" s="11" customFormat="1" ht="16.35" spans="1:17">
      <c r="A93" s="13" t="s">
        <v>20</v>
      </c>
      <c r="B93" s="13">
        <v>2012</v>
      </c>
      <c r="C93" s="13">
        <v>3</v>
      </c>
      <c r="D93" s="14">
        <v>156874</v>
      </c>
      <c r="E93" s="14">
        <v>129707</v>
      </c>
      <c r="F93" s="14">
        <v>7684</v>
      </c>
      <c r="G93" s="13">
        <v>8.2</v>
      </c>
      <c r="H93" s="13" t="s">
        <v>21</v>
      </c>
      <c r="I93" s="14">
        <v>12792</v>
      </c>
      <c r="J93" s="17">
        <v>3164.81</v>
      </c>
      <c r="K93" s="17">
        <v>3181.06</v>
      </c>
      <c r="L93" s="13">
        <v>24.7</v>
      </c>
      <c r="M93" s="13" t="s">
        <v>21</v>
      </c>
      <c r="N93" s="13">
        <v>24.9</v>
      </c>
      <c r="O93" s="13" t="s">
        <v>21</v>
      </c>
      <c r="P93" s="10"/>
      <c r="Q93" s="10"/>
    </row>
    <row r="94" s="11" customFormat="1" ht="16.35" spans="1:17">
      <c r="A94" s="13" t="s">
        <v>20</v>
      </c>
      <c r="B94" s="13">
        <v>2012</v>
      </c>
      <c r="C94" s="13">
        <v>4</v>
      </c>
      <c r="D94" s="14">
        <v>156479</v>
      </c>
      <c r="E94" s="14">
        <v>131748</v>
      </c>
      <c r="F94" s="14">
        <v>7724</v>
      </c>
      <c r="G94" s="13">
        <v>7.6</v>
      </c>
      <c r="H94" s="13" t="s">
        <v>21</v>
      </c>
      <c r="I94" s="14">
        <v>11834</v>
      </c>
      <c r="J94" s="17">
        <v>3139.09</v>
      </c>
      <c r="K94" s="17">
        <v>3170.31</v>
      </c>
      <c r="L94" s="13">
        <v>26.5</v>
      </c>
      <c r="M94" s="13" t="s">
        <v>21</v>
      </c>
      <c r="N94" s="13">
        <v>26.8</v>
      </c>
      <c r="O94" s="13" t="s">
        <v>21</v>
      </c>
      <c r="P94" s="10"/>
      <c r="Q94" s="10"/>
    </row>
    <row r="95" s="11" customFormat="1" ht="16.35" spans="1:17">
      <c r="A95" s="13" t="s">
        <v>20</v>
      </c>
      <c r="B95" s="13">
        <v>2013</v>
      </c>
      <c r="C95" s="13">
        <v>1</v>
      </c>
      <c r="D95" s="14">
        <v>155840</v>
      </c>
      <c r="E95" s="14">
        <v>129683</v>
      </c>
      <c r="F95" s="14">
        <v>7742</v>
      </c>
      <c r="G95" s="13">
        <v>8.1</v>
      </c>
      <c r="H95" s="13" t="s">
        <v>21</v>
      </c>
      <c r="I95" s="14">
        <v>12662</v>
      </c>
      <c r="J95" s="17">
        <v>3521.53</v>
      </c>
      <c r="K95" s="17">
        <v>3522.61</v>
      </c>
      <c r="L95" s="13">
        <v>27.8</v>
      </c>
      <c r="M95" s="13" t="s">
        <v>21</v>
      </c>
      <c r="N95" s="13">
        <v>27.8</v>
      </c>
      <c r="O95" s="13" t="s">
        <v>21</v>
      </c>
      <c r="P95" s="10"/>
      <c r="Q95" s="10"/>
    </row>
    <row r="96" s="11" customFormat="1" ht="16.35" spans="1:17">
      <c r="A96" s="13" t="s">
        <v>20</v>
      </c>
      <c r="B96" s="13">
        <v>2013</v>
      </c>
      <c r="C96" s="13">
        <v>2</v>
      </c>
      <c r="D96" s="14">
        <v>156970</v>
      </c>
      <c r="E96" s="14">
        <v>132557</v>
      </c>
      <c r="F96" s="14">
        <v>7786</v>
      </c>
      <c r="G96" s="13">
        <v>7.4</v>
      </c>
      <c r="H96" s="13" t="s">
        <v>21</v>
      </c>
      <c r="I96" s="14">
        <v>11674</v>
      </c>
      <c r="J96" s="17">
        <v>2920.69</v>
      </c>
      <c r="K96" s="17">
        <v>2921.43</v>
      </c>
      <c r="L96" s="13">
        <v>25</v>
      </c>
      <c r="M96" s="13" t="s">
        <v>21</v>
      </c>
      <c r="N96" s="13">
        <v>25</v>
      </c>
      <c r="O96" s="13" t="s">
        <v>21</v>
      </c>
      <c r="P96" s="10"/>
      <c r="Q96" s="10"/>
    </row>
    <row r="97" s="11" customFormat="1" ht="16.35" spans="1:17">
      <c r="A97" s="13" t="s">
        <v>20</v>
      </c>
      <c r="B97" s="13">
        <v>2013</v>
      </c>
      <c r="C97" s="13">
        <v>3</v>
      </c>
      <c r="D97" s="14">
        <v>157366</v>
      </c>
      <c r="E97" s="14">
        <v>132138</v>
      </c>
      <c r="F97" s="14">
        <v>7698</v>
      </c>
      <c r="G97" s="13">
        <v>7.4</v>
      </c>
      <c r="H97" s="13" t="s">
        <v>21</v>
      </c>
      <c r="I97" s="14">
        <v>11647</v>
      </c>
      <c r="J97" s="17">
        <v>2850.77</v>
      </c>
      <c r="K97" s="17">
        <v>2851.56</v>
      </c>
      <c r="L97" s="13">
        <v>24.5</v>
      </c>
      <c r="M97" s="13" t="s">
        <v>21</v>
      </c>
      <c r="N97" s="13">
        <v>24.5</v>
      </c>
      <c r="O97" s="13" t="s">
        <v>21</v>
      </c>
      <c r="P97" s="10"/>
      <c r="Q97" s="10"/>
    </row>
    <row r="98" s="11" customFormat="1" ht="16.35" spans="1:17">
      <c r="A98" s="13" t="s">
        <v>20</v>
      </c>
      <c r="B98" s="13">
        <v>2013</v>
      </c>
      <c r="C98" s="13">
        <v>4</v>
      </c>
      <c r="D98" s="14">
        <v>155939</v>
      </c>
      <c r="E98" s="14">
        <v>134239</v>
      </c>
      <c r="F98" s="14">
        <v>7747</v>
      </c>
      <c r="G98" s="13">
        <v>6.7</v>
      </c>
      <c r="H98" s="13" t="s">
        <v>21</v>
      </c>
      <c r="I98" s="14">
        <v>10513</v>
      </c>
      <c r="J98" s="17">
        <v>2761.89</v>
      </c>
      <c r="K98" s="17">
        <v>2762.19</v>
      </c>
      <c r="L98" s="13">
        <v>26.3</v>
      </c>
      <c r="M98" s="13" t="s">
        <v>21</v>
      </c>
      <c r="N98" s="13">
        <v>26.3</v>
      </c>
      <c r="O98" s="13" t="s">
        <v>21</v>
      </c>
      <c r="P98" s="10"/>
      <c r="Q98" s="10"/>
    </row>
    <row r="99" s="11" customFormat="1" ht="16.35" spans="1:17">
      <c r="A99" s="13" t="s">
        <v>20</v>
      </c>
      <c r="B99" s="13">
        <v>2014</v>
      </c>
      <c r="C99" s="13">
        <v>1</v>
      </c>
      <c r="D99" s="14">
        <v>156164</v>
      </c>
      <c r="E99" s="14">
        <v>131943</v>
      </c>
      <c r="F99" s="14">
        <v>7699</v>
      </c>
      <c r="G99" s="13">
        <v>7</v>
      </c>
      <c r="H99" s="13" t="s">
        <v>21</v>
      </c>
      <c r="I99" s="14">
        <v>10927</v>
      </c>
      <c r="J99" s="17">
        <v>3300.82</v>
      </c>
      <c r="K99" s="17">
        <v>3300.95</v>
      </c>
      <c r="L99" s="13">
        <v>30.2</v>
      </c>
      <c r="M99" s="13" t="s">
        <v>21</v>
      </c>
      <c r="N99" s="13">
        <v>30.2</v>
      </c>
      <c r="O99" s="13" t="s">
        <v>21</v>
      </c>
      <c r="P99" s="10"/>
      <c r="Q99" s="10"/>
    </row>
    <row r="100" s="11" customFormat="1" ht="16.35" spans="1:17">
      <c r="A100" s="13" t="s">
        <v>20</v>
      </c>
      <c r="B100" s="13">
        <v>2014</v>
      </c>
      <c r="C100" s="13">
        <v>2</v>
      </c>
      <c r="D100" s="14">
        <v>157021</v>
      </c>
      <c r="E100" s="14">
        <v>135201</v>
      </c>
      <c r="F100" s="14">
        <v>7762</v>
      </c>
      <c r="G100" s="13">
        <v>6.1</v>
      </c>
      <c r="H100" s="13" t="s">
        <v>21</v>
      </c>
      <c r="I100" s="14">
        <v>9621</v>
      </c>
      <c r="J100" s="17">
        <v>2571.17</v>
      </c>
      <c r="K100" s="17">
        <v>2571.34</v>
      </c>
      <c r="L100" s="13">
        <v>26.7</v>
      </c>
      <c r="M100" s="13" t="s">
        <v>21</v>
      </c>
      <c r="N100" s="13">
        <v>26.7</v>
      </c>
      <c r="O100" s="13" t="s">
        <v>21</v>
      </c>
      <c r="P100" s="10"/>
      <c r="Q100" s="10"/>
    </row>
    <row r="101" s="11" customFormat="1" ht="16.35" spans="1:17">
      <c r="A101" s="13" t="s">
        <v>20</v>
      </c>
      <c r="B101" s="13">
        <v>2014</v>
      </c>
      <c r="C101" s="13">
        <v>3</v>
      </c>
      <c r="D101" s="14">
        <v>157772</v>
      </c>
      <c r="E101" s="14">
        <v>134928</v>
      </c>
      <c r="F101" s="14">
        <v>7794</v>
      </c>
      <c r="G101" s="13">
        <v>6.2</v>
      </c>
      <c r="H101" s="13" t="s">
        <v>21</v>
      </c>
      <c r="I101" s="14">
        <v>9853</v>
      </c>
      <c r="J101" s="17">
        <v>2375.23</v>
      </c>
      <c r="K101" s="17">
        <v>2375.24</v>
      </c>
      <c r="L101" s="13">
        <v>24.1</v>
      </c>
      <c r="M101" s="13" t="s">
        <v>21</v>
      </c>
      <c r="N101" s="13">
        <v>24.1</v>
      </c>
      <c r="O101" s="13" t="s">
        <v>21</v>
      </c>
      <c r="P101" s="10"/>
      <c r="Q101" s="10"/>
    </row>
    <row r="102" s="11" customFormat="1" ht="16.35" spans="1:17">
      <c r="A102" s="15" t="s">
        <v>20</v>
      </c>
      <c r="B102" s="15">
        <v>2014</v>
      </c>
      <c r="C102" s="15">
        <v>4</v>
      </c>
      <c r="D102" s="16">
        <v>157315</v>
      </c>
      <c r="E102" s="16">
        <v>137192</v>
      </c>
      <c r="F102" s="16">
        <v>7816</v>
      </c>
      <c r="G102" s="15">
        <v>5.5</v>
      </c>
      <c r="H102" s="15" t="s">
        <v>21</v>
      </c>
      <c r="I102" s="16">
        <v>8697</v>
      </c>
      <c r="J102" s="18">
        <v>2280.59</v>
      </c>
      <c r="K102" s="18">
        <v>2280.6</v>
      </c>
      <c r="L102" s="15">
        <v>26.2</v>
      </c>
      <c r="M102" s="15" t="s">
        <v>21</v>
      </c>
      <c r="N102" s="15">
        <v>26.2</v>
      </c>
      <c r="O102" s="15" t="s">
        <v>21</v>
      </c>
      <c r="P102" s="10"/>
      <c r="Q102" s="10"/>
    </row>
    <row r="103" s="11" customFormat="1" ht="17.1" spans="1:17">
      <c r="A103" s="13" t="s">
        <v>20</v>
      </c>
      <c r="B103" s="13">
        <v>2015</v>
      </c>
      <c r="C103" s="13">
        <v>1</v>
      </c>
      <c r="D103" s="14">
        <v>157048</v>
      </c>
      <c r="E103" s="14">
        <v>134922</v>
      </c>
      <c r="F103" s="14">
        <v>7854</v>
      </c>
      <c r="G103" s="13">
        <v>5.9</v>
      </c>
      <c r="H103" s="13" t="s">
        <v>21</v>
      </c>
      <c r="I103" s="14">
        <v>9203</v>
      </c>
      <c r="J103" s="17">
        <v>2758.48</v>
      </c>
      <c r="K103" s="17">
        <v>2758.49</v>
      </c>
      <c r="L103" s="13">
        <v>30</v>
      </c>
      <c r="M103" s="13" t="s">
        <v>21</v>
      </c>
      <c r="N103" s="13">
        <v>30</v>
      </c>
      <c r="O103" s="13" t="s">
        <v>21</v>
      </c>
      <c r="P103" s="10"/>
      <c r="Q103" s="10"/>
    </row>
    <row r="104" s="11" customFormat="1" ht="16.35" spans="1:17">
      <c r="A104" s="13" t="s">
        <v>20</v>
      </c>
      <c r="B104" s="13">
        <v>2015</v>
      </c>
      <c r="C104" s="13">
        <v>2</v>
      </c>
      <c r="D104" s="14">
        <v>158352</v>
      </c>
      <c r="E104" s="14">
        <v>138012</v>
      </c>
      <c r="F104" s="14">
        <v>7909</v>
      </c>
      <c r="G104" s="13">
        <v>5.3</v>
      </c>
      <c r="H104" s="13" t="s">
        <v>21</v>
      </c>
      <c r="I104" s="14">
        <v>8470</v>
      </c>
      <c r="J104" s="17">
        <v>2174.8</v>
      </c>
      <c r="K104" s="17">
        <v>2174.82</v>
      </c>
      <c r="L104" s="13">
        <v>25.7</v>
      </c>
      <c r="M104" s="13" t="s">
        <v>21</v>
      </c>
      <c r="N104" s="13">
        <v>25.7</v>
      </c>
      <c r="O104" s="13" t="s">
        <v>21</v>
      </c>
      <c r="P104" s="10"/>
      <c r="Q104" s="10"/>
    </row>
    <row r="105" s="11" customFormat="1" ht="16.35" spans="1:17">
      <c r="A105" s="13" t="s">
        <v>20</v>
      </c>
      <c r="B105" s="13">
        <v>2015</v>
      </c>
      <c r="C105" s="13">
        <v>3</v>
      </c>
      <c r="D105" s="14">
        <v>158314</v>
      </c>
      <c r="E105" s="14">
        <v>137764</v>
      </c>
      <c r="F105" s="14">
        <v>7959</v>
      </c>
      <c r="G105" s="13">
        <v>5.3</v>
      </c>
      <c r="H105" s="13" t="s">
        <v>21</v>
      </c>
      <c r="I105" s="14">
        <v>8313</v>
      </c>
      <c r="J105" s="17">
        <v>2129.27</v>
      </c>
      <c r="K105" s="17">
        <v>2129.27</v>
      </c>
      <c r="L105" s="13">
        <v>25.6</v>
      </c>
      <c r="M105" s="13" t="s">
        <v>21</v>
      </c>
      <c r="N105" s="13">
        <v>25.6</v>
      </c>
      <c r="O105" s="13" t="s">
        <v>21</v>
      </c>
      <c r="P105" s="10"/>
      <c r="Q105" s="10"/>
    </row>
    <row r="106" s="11" customFormat="1" ht="16.35" spans="1:17">
      <c r="A106" s="13" t="s">
        <v>20</v>
      </c>
      <c r="B106" s="13">
        <v>2015</v>
      </c>
      <c r="C106" s="13">
        <v>4</v>
      </c>
      <c r="D106" s="14">
        <v>158129</v>
      </c>
      <c r="E106" s="14">
        <v>139935</v>
      </c>
      <c r="F106" s="14">
        <v>8007</v>
      </c>
      <c r="G106" s="13">
        <v>4.9</v>
      </c>
      <c r="H106" s="13" t="s">
        <v>21</v>
      </c>
      <c r="I106" s="14">
        <v>7693</v>
      </c>
      <c r="J106" s="17">
        <v>2066.26</v>
      </c>
      <c r="K106" s="17">
        <v>2066.26</v>
      </c>
      <c r="L106" s="13">
        <v>26.9</v>
      </c>
      <c r="M106" s="13" t="s">
        <v>21</v>
      </c>
      <c r="N106" s="13">
        <v>26.9</v>
      </c>
      <c r="O106" s="13" t="s">
        <v>21</v>
      </c>
      <c r="P106" s="10"/>
      <c r="Q106" s="10"/>
    </row>
    <row r="107" s="11" customFormat="1" ht="16.35" spans="1:17">
      <c r="A107" s="13" t="s">
        <v>20</v>
      </c>
      <c r="B107" s="13">
        <v>2016</v>
      </c>
      <c r="C107" s="13">
        <v>1</v>
      </c>
      <c r="D107" s="14">
        <v>158815</v>
      </c>
      <c r="E107" s="14">
        <v>137594</v>
      </c>
      <c r="F107" s="14">
        <v>8043</v>
      </c>
      <c r="G107" s="13">
        <v>5.2</v>
      </c>
      <c r="H107" s="13" t="s">
        <v>21</v>
      </c>
      <c r="I107" s="14">
        <v>8321</v>
      </c>
      <c r="J107" s="17">
        <v>2599.3</v>
      </c>
      <c r="K107" s="17">
        <v>2599.31</v>
      </c>
      <c r="L107" s="13">
        <v>31.2</v>
      </c>
      <c r="M107" s="13" t="s">
        <v>21</v>
      </c>
      <c r="N107" s="13">
        <v>31.2</v>
      </c>
      <c r="O107" s="13" t="s">
        <v>21</v>
      </c>
      <c r="P107" s="10"/>
      <c r="Q107" s="10"/>
    </row>
    <row r="108" s="11" customFormat="1" ht="16.35" spans="1:17">
      <c r="A108" s="13" t="s">
        <v>20</v>
      </c>
      <c r="B108" s="13">
        <v>2016</v>
      </c>
      <c r="C108" s="13">
        <v>2</v>
      </c>
      <c r="D108" s="14">
        <v>159771</v>
      </c>
      <c r="E108" s="14">
        <v>140422</v>
      </c>
      <c r="F108" s="14">
        <v>8122</v>
      </c>
      <c r="G108" s="13">
        <v>4.8</v>
      </c>
      <c r="H108" s="13" t="s">
        <v>21</v>
      </c>
      <c r="I108" s="14">
        <v>7689</v>
      </c>
      <c r="J108" s="17">
        <v>2057.93</v>
      </c>
      <c r="K108" s="17">
        <v>2057.94</v>
      </c>
      <c r="L108" s="13">
        <v>26.8</v>
      </c>
      <c r="M108" s="13" t="s">
        <v>21</v>
      </c>
      <c r="N108" s="13">
        <v>26.8</v>
      </c>
      <c r="O108" s="13" t="s">
        <v>21</v>
      </c>
      <c r="P108" s="10"/>
      <c r="Q108" s="10"/>
    </row>
    <row r="109" s="11" customFormat="1" ht="16.35" spans="1:17">
      <c r="A109" s="13" t="s">
        <v>20</v>
      </c>
      <c r="B109" s="13">
        <v>2016</v>
      </c>
      <c r="C109" s="13">
        <v>3</v>
      </c>
      <c r="D109" s="14">
        <v>160631</v>
      </c>
      <c r="E109" s="14">
        <v>140114</v>
      </c>
      <c r="F109" s="14">
        <v>8152</v>
      </c>
      <c r="G109" s="13">
        <v>5</v>
      </c>
      <c r="H109" s="13" t="s">
        <v>21</v>
      </c>
      <c r="I109" s="14">
        <v>8086</v>
      </c>
      <c r="J109" s="17">
        <v>1991.83</v>
      </c>
      <c r="K109" s="17">
        <v>1991.83</v>
      </c>
      <c r="L109" s="13">
        <v>24.6</v>
      </c>
      <c r="M109" s="13" t="s">
        <v>21</v>
      </c>
      <c r="N109" s="13">
        <v>24.6</v>
      </c>
      <c r="O109" s="13" t="s">
        <v>21</v>
      </c>
      <c r="P109" s="10"/>
      <c r="Q109" s="10"/>
    </row>
    <row r="110" s="11" customFormat="1" ht="16.35" spans="1:17">
      <c r="A110" s="13" t="s">
        <v>20</v>
      </c>
      <c r="B110" s="13">
        <v>2016</v>
      </c>
      <c r="C110" s="13">
        <v>4</v>
      </c>
      <c r="D110" s="14">
        <v>159949</v>
      </c>
      <c r="E110" s="14">
        <v>141845</v>
      </c>
      <c r="F110" s="14">
        <v>8198</v>
      </c>
      <c r="G110" s="13">
        <v>4.6</v>
      </c>
      <c r="H110" s="13" t="s">
        <v>21</v>
      </c>
      <c r="I110" s="14">
        <v>7333</v>
      </c>
      <c r="J110" s="17">
        <v>1883.74</v>
      </c>
      <c r="K110" s="17">
        <v>1883.75</v>
      </c>
      <c r="L110" s="13">
        <v>25.7</v>
      </c>
      <c r="M110" s="13" t="s">
        <v>21</v>
      </c>
      <c r="N110" s="13">
        <v>25.7</v>
      </c>
      <c r="O110" s="13" t="s">
        <v>21</v>
      </c>
      <c r="P110" s="10"/>
      <c r="Q110" s="10"/>
    </row>
    <row r="111" s="11" customFormat="1" ht="16.35" spans="1:17">
      <c r="A111" s="13" t="s">
        <v>20</v>
      </c>
      <c r="B111" s="13">
        <v>2017</v>
      </c>
      <c r="C111" s="13">
        <v>1</v>
      </c>
      <c r="D111" s="14">
        <v>160917</v>
      </c>
      <c r="E111" s="14">
        <v>139643</v>
      </c>
      <c r="F111" s="14">
        <v>8232</v>
      </c>
      <c r="G111" s="13">
        <v>4.9</v>
      </c>
      <c r="H111" s="13" t="s">
        <v>21</v>
      </c>
      <c r="I111" s="14">
        <v>7922</v>
      </c>
      <c r="J111" s="17">
        <v>2403.84</v>
      </c>
      <c r="K111" s="17">
        <v>2403.84</v>
      </c>
      <c r="L111" s="13">
        <v>30.3</v>
      </c>
      <c r="M111" s="13" t="s">
        <v>21</v>
      </c>
      <c r="N111" s="13">
        <v>30.3</v>
      </c>
      <c r="O111" s="13" t="s">
        <v>21</v>
      </c>
      <c r="P111" s="10"/>
      <c r="Q111" s="10"/>
    </row>
    <row r="112" s="11" customFormat="1" ht="16.35" spans="1:17">
      <c r="A112" s="13" t="s">
        <v>20</v>
      </c>
      <c r="B112" s="13">
        <v>2017</v>
      </c>
      <c r="C112" s="13">
        <v>2</v>
      </c>
      <c r="D112" s="14">
        <v>161910</v>
      </c>
      <c r="E112" s="14">
        <v>142442</v>
      </c>
      <c r="F112" s="14">
        <v>8282</v>
      </c>
      <c r="G112" s="13">
        <v>4.3</v>
      </c>
      <c r="H112" s="13" t="s">
        <v>21</v>
      </c>
      <c r="I112" s="14">
        <v>6924</v>
      </c>
      <c r="J112" s="17">
        <v>1866.71</v>
      </c>
      <c r="K112" s="17">
        <v>1866.72</v>
      </c>
      <c r="L112" s="13">
        <v>27</v>
      </c>
      <c r="M112" s="13" t="s">
        <v>21</v>
      </c>
      <c r="N112" s="13">
        <v>27</v>
      </c>
      <c r="O112" s="13" t="s">
        <v>21</v>
      </c>
      <c r="P112" s="10"/>
      <c r="Q112" s="10"/>
    </row>
    <row r="113" s="11" customFormat="1" ht="16.35" spans="1:17">
      <c r="A113" s="13" t="s">
        <v>20</v>
      </c>
      <c r="B113" s="13">
        <v>2017</v>
      </c>
      <c r="C113" s="13">
        <v>3</v>
      </c>
      <c r="D113" s="14">
        <v>162789</v>
      </c>
      <c r="E113" s="14">
        <v>141877</v>
      </c>
      <c r="F113" s="14">
        <v>8327</v>
      </c>
      <c r="G113" s="13">
        <v>4.4</v>
      </c>
      <c r="H113" s="13" t="s">
        <v>21</v>
      </c>
      <c r="I113" s="14">
        <v>7233</v>
      </c>
      <c r="J113" s="17">
        <v>1832.97</v>
      </c>
      <c r="K113" s="17">
        <v>1832.97</v>
      </c>
      <c r="L113" s="13">
        <v>25.3</v>
      </c>
      <c r="M113" s="13" t="s">
        <v>21</v>
      </c>
      <c r="N113" s="13">
        <v>25.3</v>
      </c>
      <c r="O113" s="13" t="s">
        <v>21</v>
      </c>
      <c r="P113" s="10"/>
      <c r="Q113" s="10"/>
    </row>
    <row r="114" s="11" customFormat="1" ht="16.35" spans="1:17">
      <c r="A114" s="13" t="s">
        <v>20</v>
      </c>
      <c r="B114" s="13">
        <v>2017</v>
      </c>
      <c r="C114" s="13">
        <v>4</v>
      </c>
      <c r="D114" s="14">
        <v>161748</v>
      </c>
      <c r="E114" s="14">
        <v>143849</v>
      </c>
      <c r="F114" s="14">
        <v>8373</v>
      </c>
      <c r="G114" s="13">
        <v>4</v>
      </c>
      <c r="H114" s="13" t="s">
        <v>21</v>
      </c>
      <c r="I114" s="14">
        <v>6399</v>
      </c>
      <c r="J114" s="17">
        <v>1811.01</v>
      </c>
      <c r="K114" s="17">
        <v>1811.57</v>
      </c>
      <c r="L114" s="13">
        <v>28.3</v>
      </c>
      <c r="M114" s="13" t="s">
        <v>21</v>
      </c>
      <c r="N114" s="13">
        <v>28.3</v>
      </c>
      <c r="O114" s="13" t="s">
        <v>21</v>
      </c>
      <c r="P114" s="10"/>
      <c r="Q114" s="10"/>
    </row>
    <row r="115" s="11" customFormat="1" ht="16.35" spans="1:17">
      <c r="A115" s="13" t="s">
        <v>20</v>
      </c>
      <c r="B115" s="13">
        <v>2018</v>
      </c>
      <c r="C115" s="13">
        <v>1</v>
      </c>
      <c r="D115" s="14">
        <v>162144</v>
      </c>
      <c r="E115" s="14">
        <v>141837</v>
      </c>
      <c r="F115" s="14">
        <v>8415</v>
      </c>
      <c r="G115" s="13">
        <v>4.4</v>
      </c>
      <c r="H115" s="13" t="s">
        <v>21</v>
      </c>
      <c r="I115" s="14">
        <v>7096</v>
      </c>
      <c r="J115" s="17">
        <v>2179.47</v>
      </c>
      <c r="K115" s="17">
        <v>2180.52</v>
      </c>
      <c r="L115" s="13">
        <v>30.7</v>
      </c>
      <c r="M115" s="13" t="s">
        <v>21</v>
      </c>
      <c r="N115" s="13">
        <v>30.7</v>
      </c>
      <c r="O115" s="13" t="s">
        <v>21</v>
      </c>
      <c r="P115" s="10"/>
      <c r="Q115" s="10"/>
    </row>
    <row r="116" s="11" customFormat="1" ht="16.35" spans="1:17">
      <c r="A116" s="13" t="s">
        <v>20</v>
      </c>
      <c r="B116" s="13">
        <v>2018</v>
      </c>
      <c r="C116" s="13">
        <v>2</v>
      </c>
      <c r="D116" s="14">
        <v>163191</v>
      </c>
      <c r="E116" s="14">
        <v>144593</v>
      </c>
      <c r="F116" s="14">
        <v>8469</v>
      </c>
      <c r="G116" s="13">
        <v>3.8</v>
      </c>
      <c r="H116" s="13" t="s">
        <v>21</v>
      </c>
      <c r="I116" s="14">
        <v>6267</v>
      </c>
      <c r="J116" s="17">
        <v>1692.04</v>
      </c>
      <c r="K116" s="17">
        <v>1694.01</v>
      </c>
      <c r="L116" s="13">
        <v>27</v>
      </c>
      <c r="M116" s="13" t="s">
        <v>21</v>
      </c>
      <c r="N116" s="13">
        <v>27</v>
      </c>
      <c r="O116" s="13" t="s">
        <v>21</v>
      </c>
      <c r="P116" s="10"/>
      <c r="Q116" s="10"/>
    </row>
    <row r="117" s="11" customFormat="1" ht="16.35" spans="1:17">
      <c r="A117" s="13" t="s">
        <v>20</v>
      </c>
      <c r="B117" s="13">
        <v>2018</v>
      </c>
      <c r="C117" s="13">
        <v>3</v>
      </c>
      <c r="D117" s="14">
        <v>163564</v>
      </c>
      <c r="E117" s="14">
        <v>144251</v>
      </c>
      <c r="F117" s="14">
        <v>8514</v>
      </c>
      <c r="G117" s="13">
        <v>3.9</v>
      </c>
      <c r="H117" s="13" t="s">
        <v>21</v>
      </c>
      <c r="I117" s="14">
        <v>6385</v>
      </c>
      <c r="J117" s="17">
        <v>1653.52</v>
      </c>
      <c r="K117" s="17">
        <v>1653.88</v>
      </c>
      <c r="L117" s="13">
        <v>25.9</v>
      </c>
      <c r="M117" s="13" t="s">
        <v>21</v>
      </c>
      <c r="N117" s="13">
        <v>25.9</v>
      </c>
      <c r="O117" s="13" t="s">
        <v>21</v>
      </c>
      <c r="P117" s="10"/>
      <c r="Q117" s="10"/>
    </row>
    <row r="118" s="11" customFormat="1" ht="16.35" spans="1:17">
      <c r="A118" s="13" t="s">
        <v>20</v>
      </c>
      <c r="B118" s="13">
        <v>2018</v>
      </c>
      <c r="C118" s="13">
        <v>4</v>
      </c>
      <c r="D118" s="14">
        <v>163586</v>
      </c>
      <c r="E118" s="14">
        <v>146181</v>
      </c>
      <c r="F118" s="14">
        <v>8522</v>
      </c>
      <c r="G118" s="13">
        <v>3.6</v>
      </c>
      <c r="H118" s="13" t="s">
        <v>21</v>
      </c>
      <c r="I118" s="14">
        <v>5898</v>
      </c>
      <c r="J118" s="17">
        <v>1591.4</v>
      </c>
      <c r="K118" s="17">
        <v>1591.43</v>
      </c>
      <c r="L118" s="13">
        <v>27</v>
      </c>
      <c r="M118" s="13" t="s">
        <v>21</v>
      </c>
      <c r="N118" s="13">
        <v>27</v>
      </c>
      <c r="O118" s="13" t="s">
        <v>21</v>
      </c>
      <c r="P118" s="10"/>
      <c r="Q118" s="10"/>
    </row>
    <row r="119" s="11" customFormat="1" ht="16.35" spans="1:17">
      <c r="A119" s="13" t="s">
        <v>20</v>
      </c>
      <c r="B119" s="13">
        <v>2019</v>
      </c>
      <c r="C119" s="13">
        <v>1</v>
      </c>
      <c r="D119" s="14">
        <v>163976</v>
      </c>
      <c r="E119" s="14">
        <v>144019</v>
      </c>
      <c r="F119" s="14">
        <v>8567</v>
      </c>
      <c r="G119" s="13">
        <v>4.2</v>
      </c>
      <c r="H119" s="13" t="s">
        <v>21</v>
      </c>
      <c r="I119" s="14">
        <v>6824</v>
      </c>
      <c r="J119" s="17">
        <v>2037.54</v>
      </c>
      <c r="K119" s="17">
        <v>2037.55</v>
      </c>
      <c r="L119" s="13">
        <v>29.9</v>
      </c>
      <c r="M119" s="13" t="s">
        <v>21</v>
      </c>
      <c r="N119" s="13">
        <v>29.9</v>
      </c>
      <c r="O119" s="13" t="s">
        <v>21</v>
      </c>
      <c r="P119" s="10"/>
      <c r="Q119" s="10"/>
    </row>
    <row r="120" s="11" customFormat="1" ht="16.35" spans="1:17">
      <c r="A120" s="13" t="s">
        <v>20</v>
      </c>
      <c r="B120" s="13">
        <v>2019</v>
      </c>
      <c r="C120" s="13">
        <v>2</v>
      </c>
      <c r="D120" s="14">
        <v>164349</v>
      </c>
      <c r="E120" s="14">
        <v>146560</v>
      </c>
      <c r="F120" s="14">
        <v>8624</v>
      </c>
      <c r="G120" s="13">
        <v>3.5</v>
      </c>
      <c r="H120" s="13" t="s">
        <v>21</v>
      </c>
      <c r="I120" s="14">
        <v>5821</v>
      </c>
      <c r="J120" s="17">
        <v>1592.47</v>
      </c>
      <c r="K120" s="17">
        <v>1592.47</v>
      </c>
      <c r="L120" s="13">
        <v>27.4</v>
      </c>
      <c r="M120" s="13" t="s">
        <v>21</v>
      </c>
      <c r="N120" s="13">
        <v>27.4</v>
      </c>
      <c r="O120" s="13" t="s">
        <v>21</v>
      </c>
      <c r="P120" s="10"/>
      <c r="Q120" s="10"/>
    </row>
    <row r="121" s="11" customFormat="1" ht="16.35" spans="1:17">
      <c r="A121" s="13" t="s">
        <v>20</v>
      </c>
      <c r="B121" s="13">
        <v>2019</v>
      </c>
      <c r="C121" s="13">
        <v>3</v>
      </c>
      <c r="D121" s="14">
        <v>165668</v>
      </c>
      <c r="E121" s="14">
        <v>146109</v>
      </c>
      <c r="F121" s="14">
        <v>8653</v>
      </c>
      <c r="G121" s="13">
        <v>3.7</v>
      </c>
      <c r="H121" s="13" t="s">
        <v>21</v>
      </c>
      <c r="I121" s="14">
        <v>6169</v>
      </c>
      <c r="J121" s="17">
        <v>1596.04</v>
      </c>
      <c r="K121" s="17">
        <v>1596.04</v>
      </c>
      <c r="L121" s="13">
        <v>25.9</v>
      </c>
      <c r="M121" s="13" t="s">
        <v>21</v>
      </c>
      <c r="N121" s="13">
        <v>25.9</v>
      </c>
      <c r="O121" s="13" t="s">
        <v>21</v>
      </c>
      <c r="P121" s="10"/>
      <c r="Q121" s="10"/>
    </row>
    <row r="122" s="11" customFormat="1" ht="16.35" spans="1:17">
      <c r="A122" s="13" t="s">
        <v>20</v>
      </c>
      <c r="B122" s="13">
        <v>2019</v>
      </c>
      <c r="C122" s="13">
        <v>4</v>
      </c>
      <c r="D122" s="14">
        <v>165634</v>
      </c>
      <c r="E122" s="14">
        <v>148006</v>
      </c>
      <c r="F122" s="14">
        <v>8703</v>
      </c>
      <c r="G122" s="13">
        <v>3.4</v>
      </c>
      <c r="H122" s="13" t="s">
        <v>21</v>
      </c>
      <c r="I122" s="14">
        <v>5588</v>
      </c>
      <c r="J122" s="17">
        <v>1598.59</v>
      </c>
      <c r="K122" s="17">
        <v>1598.59</v>
      </c>
      <c r="L122" s="13">
        <v>28.6</v>
      </c>
      <c r="M122" s="13" t="s">
        <v>21</v>
      </c>
      <c r="N122" s="13">
        <v>28.6</v>
      </c>
      <c r="O122" s="13" t="s">
        <v>21</v>
      </c>
      <c r="P122" s="10"/>
      <c r="Q122" s="10"/>
    </row>
    <row r="123" s="10" customFormat="1" ht="16.35" spans="1:15">
      <c r="A123" s="13" t="s">
        <v>20</v>
      </c>
      <c r="B123" s="13">
        <v>2020</v>
      </c>
      <c r="C123" s="13">
        <v>1</v>
      </c>
      <c r="D123" s="14">
        <v>164790</v>
      </c>
      <c r="E123" s="14">
        <v>145439</v>
      </c>
      <c r="F123" s="14">
        <v>8721</v>
      </c>
      <c r="G123" s="13">
        <v>4.3</v>
      </c>
      <c r="H123" s="13" t="s">
        <v>21</v>
      </c>
      <c r="I123" s="14">
        <v>7013</v>
      </c>
      <c r="J123" s="17">
        <v>2492.97</v>
      </c>
      <c r="K123" s="17">
        <v>2492.97</v>
      </c>
      <c r="L123" s="13">
        <v>35.5</v>
      </c>
      <c r="M123" s="13" t="s">
        <v>21</v>
      </c>
      <c r="N123" s="13">
        <v>35.5</v>
      </c>
      <c r="O123" s="13" t="s">
        <v>21</v>
      </c>
    </row>
    <row r="124" s="10" customFormat="1" ht="16.35" spans="1:15">
      <c r="A124" s="13" t="s">
        <v>20</v>
      </c>
      <c r="B124" s="13">
        <v>2020</v>
      </c>
      <c r="C124" s="13">
        <v>2</v>
      </c>
      <c r="D124" s="14">
        <v>159203</v>
      </c>
      <c r="E124" s="14">
        <v>128918</v>
      </c>
      <c r="F124" s="14">
        <v>8821</v>
      </c>
      <c r="G124" s="13">
        <v>12.8</v>
      </c>
      <c r="H124" s="13" t="s">
        <v>21</v>
      </c>
      <c r="I124" s="14">
        <v>20298</v>
      </c>
      <c r="J124" s="17">
        <v>17782.83</v>
      </c>
      <c r="K124" s="17">
        <v>17783.62</v>
      </c>
      <c r="L124" s="13">
        <v>87.6</v>
      </c>
      <c r="M124" s="13" t="s">
        <v>21</v>
      </c>
      <c r="N124" s="13">
        <v>87.6</v>
      </c>
      <c r="O124" s="13" t="s">
        <v>21</v>
      </c>
    </row>
    <row r="125" s="10" customFormat="1" ht="16.35" spans="1:15">
      <c r="A125" s="13" t="s">
        <v>20</v>
      </c>
      <c r="B125" s="13">
        <v>2020</v>
      </c>
      <c r="C125" s="13">
        <v>3</v>
      </c>
      <c r="D125" s="14">
        <v>162546</v>
      </c>
      <c r="E125" s="14">
        <v>134740</v>
      </c>
      <c r="F125" s="14">
        <v>8907</v>
      </c>
      <c r="G125" s="13">
        <v>9</v>
      </c>
      <c r="H125" s="13" t="s">
        <v>21</v>
      </c>
      <c r="I125" s="14">
        <v>14548</v>
      </c>
      <c r="J125" s="17">
        <v>13836.82</v>
      </c>
      <c r="K125" s="17">
        <v>14072</v>
      </c>
      <c r="L125" s="13">
        <v>95.1</v>
      </c>
      <c r="M125" s="13" t="s">
        <v>21</v>
      </c>
      <c r="N125" s="13">
        <v>96.7</v>
      </c>
      <c r="O125" s="13" t="s">
        <v>21</v>
      </c>
    </row>
    <row r="126" s="10" customFormat="1" ht="16.35" spans="1:15">
      <c r="A126" s="13" t="s">
        <v>20</v>
      </c>
      <c r="B126" s="13">
        <v>2020</v>
      </c>
      <c r="C126" s="13">
        <v>4</v>
      </c>
      <c r="D126" s="14">
        <v>161984</v>
      </c>
      <c r="E126" s="14">
        <v>139019</v>
      </c>
      <c r="F126" s="14">
        <v>8994</v>
      </c>
      <c r="G126" s="13">
        <v>6.5</v>
      </c>
      <c r="H126" s="13" t="s">
        <v>21</v>
      </c>
      <c r="I126" s="14">
        <v>10564</v>
      </c>
      <c r="J126" s="17">
        <v>6233.81</v>
      </c>
      <c r="K126" s="17">
        <v>7018.4</v>
      </c>
      <c r="L126" s="13">
        <v>59</v>
      </c>
      <c r="M126" s="13" t="s">
        <v>21</v>
      </c>
      <c r="N126" s="13">
        <v>66.4</v>
      </c>
      <c r="O126" s="13" t="s">
        <v>21</v>
      </c>
    </row>
    <row r="127" s="10" customFormat="1" ht="16.35" spans="1:15">
      <c r="A127" s="13" t="s">
        <v>20</v>
      </c>
      <c r="B127" s="13">
        <v>2021</v>
      </c>
      <c r="C127" s="13">
        <v>1</v>
      </c>
      <c r="D127" s="14">
        <v>161574</v>
      </c>
      <c r="E127" s="14">
        <v>137467</v>
      </c>
      <c r="F127" s="14">
        <v>8999</v>
      </c>
      <c r="G127" s="13">
        <v>6.5</v>
      </c>
      <c r="H127" s="13" t="s">
        <v>21</v>
      </c>
      <c r="I127" s="14">
        <v>10552</v>
      </c>
      <c r="J127" s="17">
        <v>4645.36</v>
      </c>
      <c r="K127" s="17">
        <v>5923.54</v>
      </c>
      <c r="L127" s="13">
        <v>44</v>
      </c>
      <c r="M127" s="13" t="s">
        <v>21</v>
      </c>
      <c r="N127" s="13">
        <v>56.1</v>
      </c>
      <c r="O127" s="13" t="s">
        <v>21</v>
      </c>
    </row>
    <row r="128" s="10" customFormat="1" ht="16.35" spans="1:15">
      <c r="A128" s="13" t="s">
        <v>20</v>
      </c>
      <c r="B128" s="13">
        <v>2021</v>
      </c>
      <c r="C128" s="13">
        <v>2</v>
      </c>
      <c r="D128" s="14">
        <v>162736</v>
      </c>
      <c r="E128" s="14">
        <v>141196</v>
      </c>
      <c r="F128" s="14">
        <v>9142</v>
      </c>
      <c r="G128" s="13">
        <v>5.8</v>
      </c>
      <c r="H128" s="13" t="s">
        <v>21</v>
      </c>
      <c r="I128" s="14">
        <v>9435</v>
      </c>
      <c r="J128" s="17">
        <v>3519.72</v>
      </c>
      <c r="K128" s="17">
        <v>3869.89</v>
      </c>
      <c r="L128" s="13">
        <v>37.3</v>
      </c>
      <c r="M128" s="13" t="s">
        <v>21</v>
      </c>
      <c r="N128" s="13">
        <v>41</v>
      </c>
      <c r="O128" s="13" t="s">
        <v>21</v>
      </c>
    </row>
    <row r="129" s="10" customFormat="1" ht="16.35" spans="1:15">
      <c r="A129" s="13" t="s">
        <v>20</v>
      </c>
      <c r="B129" s="13">
        <v>2021</v>
      </c>
      <c r="C129" s="13">
        <v>3</v>
      </c>
      <c r="D129" s="14">
        <v>163721</v>
      </c>
      <c r="E129" s="14">
        <v>142455</v>
      </c>
      <c r="F129" s="14">
        <v>9267</v>
      </c>
      <c r="G129" s="13">
        <v>5.2</v>
      </c>
      <c r="H129" s="13" t="s">
        <v>21</v>
      </c>
      <c r="I129" s="14">
        <v>8521</v>
      </c>
      <c r="J129" s="17">
        <v>2718.37</v>
      </c>
      <c r="K129" s="17">
        <v>2988.51</v>
      </c>
      <c r="L129" s="13">
        <v>31.9</v>
      </c>
      <c r="M129" s="13" t="s">
        <v>21</v>
      </c>
      <c r="N129" s="13">
        <v>35.1</v>
      </c>
      <c r="O129" s="13" t="s">
        <v>21</v>
      </c>
    </row>
    <row r="130" s="10" customFormat="1" ht="16.35" spans="1:15">
      <c r="A130" s="13" t="s">
        <v>20</v>
      </c>
      <c r="B130" s="13">
        <v>2021</v>
      </c>
      <c r="C130" s="13">
        <v>4</v>
      </c>
      <c r="D130" s="14">
        <v>163690</v>
      </c>
      <c r="E130" s="14">
        <v>146043</v>
      </c>
      <c r="F130" s="14">
        <v>9364</v>
      </c>
      <c r="G130" s="13">
        <v>4</v>
      </c>
      <c r="H130" s="13" t="s">
        <v>21</v>
      </c>
      <c r="I130" s="14">
        <v>6499</v>
      </c>
      <c r="J130" s="17">
        <v>1886.69</v>
      </c>
      <c r="K130" s="17">
        <v>2006.93</v>
      </c>
      <c r="L130" s="13">
        <v>29</v>
      </c>
      <c r="M130" s="13" t="s">
        <v>21</v>
      </c>
      <c r="N130" s="13">
        <v>30.9</v>
      </c>
      <c r="O130" s="13" t="s">
        <v>21</v>
      </c>
    </row>
    <row r="131" s="10" customFormat="1" ht="16.35" spans="1:15">
      <c r="A131" s="13" t="s">
        <v>20</v>
      </c>
      <c r="B131" s="13">
        <v>2022</v>
      </c>
      <c r="C131" s="13">
        <v>1</v>
      </c>
      <c r="D131" s="14">
        <v>164823</v>
      </c>
      <c r="E131" s="14">
        <v>144934</v>
      </c>
      <c r="F131" s="14">
        <v>9411</v>
      </c>
      <c r="G131" s="13">
        <v>4.1</v>
      </c>
      <c r="H131" s="13" t="s">
        <v>21</v>
      </c>
      <c r="I131" s="14">
        <v>6793</v>
      </c>
      <c r="J131" s="17">
        <v>1902.53</v>
      </c>
      <c r="K131" s="17">
        <v>1937.19</v>
      </c>
      <c r="L131" s="13">
        <v>28</v>
      </c>
      <c r="M131" s="13" t="s">
        <v>21</v>
      </c>
      <c r="N131" s="13">
        <v>28.5</v>
      </c>
      <c r="O131" s="13" t="s">
        <v>21</v>
      </c>
    </row>
  </sheetData>
  <mergeCells count="12">
    <mergeCell ref="G1:H1"/>
    <mergeCell ref="L1:M1"/>
    <mergeCell ref="N1:O1"/>
    <mergeCell ref="A1:A2"/>
    <mergeCell ref="B1:B2"/>
    <mergeCell ref="C1:C2"/>
    <mergeCell ref="D1:D2"/>
    <mergeCell ref="E1:E2"/>
    <mergeCell ref="F1:F2"/>
    <mergeCell ref="I1:I2"/>
    <mergeCell ref="J1:J2"/>
    <mergeCell ref="K1:K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0"/>
  <sheetViews>
    <sheetView tabSelected="1" topLeftCell="A115" workbookViewId="0">
      <selection activeCell="F127" sqref="F127"/>
    </sheetView>
  </sheetViews>
  <sheetFormatPr defaultColWidth="9" defaultRowHeight="14.4" outlineLevelCol="6"/>
  <cols>
    <col min="1" max="2" width="12.7777777777778" style="2" customWidth="1"/>
    <col min="3" max="3" width="12.7777777777778" style="3" customWidth="1"/>
    <col min="4" max="5" width="12.7777777777778" style="4" customWidth="1"/>
    <col min="6" max="7" width="12.7777777777778" style="3" customWidth="1"/>
  </cols>
  <sheetData>
    <row r="1" s="1" customFormat="1" ht="28.8" spans="1:7">
      <c r="A1" s="5" t="s">
        <v>7</v>
      </c>
      <c r="B1" s="5" t="s">
        <v>8</v>
      </c>
      <c r="C1" s="6" t="s">
        <v>22</v>
      </c>
      <c r="D1" s="7" t="s">
        <v>23</v>
      </c>
      <c r="E1" s="7" t="s">
        <v>24</v>
      </c>
      <c r="F1" s="7" t="s">
        <v>25</v>
      </c>
      <c r="G1" s="7" t="s">
        <v>26</v>
      </c>
    </row>
    <row r="2" spans="1:7">
      <c r="A2" s="2">
        <v>1990</v>
      </c>
      <c r="B2" s="2">
        <v>1</v>
      </c>
      <c r="C2" s="8">
        <v>0.511</v>
      </c>
      <c r="D2" s="4">
        <f>'Table1-OUI Data'!I3*C2/('Table1-OUI Data'!E3+'Table1-OUI Data'!K3)</f>
        <v>0.0348376306664241</v>
      </c>
      <c r="E2" s="4">
        <f>('Table1-OUI Data'!E3+'Table1-OUI Data'!K3)/'Table1-OUI Data'!D3</f>
        <v>0.856808725767286</v>
      </c>
      <c r="F2" s="3">
        <f>'Table1-OUI Data'!G3/100</f>
        <v>0.058</v>
      </c>
      <c r="G2" s="9">
        <f>(F2-E2*D2)/(1-E2)</f>
        <v>0.196595876465204</v>
      </c>
    </row>
    <row r="3" spans="1:7">
      <c r="A3" s="2">
        <v>1990</v>
      </c>
      <c r="B3" s="2">
        <v>2</v>
      </c>
      <c r="C3" s="8">
        <v>0.458666666666667</v>
      </c>
      <c r="D3" s="4">
        <f>'Table1-OUI Data'!I4*C3/('Table1-OUI Data'!E4+'Table1-OUI Data'!K4)</f>
        <v>0.0286860013883413</v>
      </c>
      <c r="E3" s="4">
        <f>('Table1-OUI Data'!E4+'Table1-OUI Data'!K4)/'Table1-OUI Data'!D4</f>
        <v>0.859391901987151</v>
      </c>
      <c r="F3" s="3">
        <f>'Table1-OUI Data'!G4/100</f>
        <v>0.054</v>
      </c>
      <c r="G3" s="9">
        <f t="shared" ref="G3:G34" si="0">(F3-E3*D3)/(1-E3)</f>
        <v>0.208718296607536</v>
      </c>
    </row>
    <row r="4" spans="1:7">
      <c r="A4" s="2">
        <v>1990</v>
      </c>
      <c r="B4" s="2">
        <v>3</v>
      </c>
      <c r="C4" s="8">
        <v>0.445666666666667</v>
      </c>
      <c r="D4" s="4">
        <f>'Table1-OUI Data'!I5*C4/('Table1-OUI Data'!E5+'Table1-OUI Data'!K5)</f>
        <v>0.029582195219473</v>
      </c>
      <c r="E4" s="4">
        <f>('Table1-OUI Data'!E5+'Table1-OUI Data'!K5)/'Table1-OUI Data'!D5</f>
        <v>0.848372606200486</v>
      </c>
      <c r="F4" s="3">
        <f>'Table1-OUI Data'!G5/100</f>
        <v>0.056</v>
      </c>
      <c r="G4" s="9">
        <f t="shared" si="0"/>
        <v>0.203810638501018</v>
      </c>
    </row>
    <row r="5" spans="1:7">
      <c r="A5" s="2">
        <v>1990</v>
      </c>
      <c r="B5" s="2">
        <v>4</v>
      </c>
      <c r="C5" s="8">
        <v>0.504333333333333</v>
      </c>
      <c r="D5" s="4">
        <f>'Table1-OUI Data'!I6*C5/('Table1-OUI Data'!E6+'Table1-OUI Data'!K6)</f>
        <v>0.0341610102572025</v>
      </c>
      <c r="E5" s="4">
        <f>('Table1-OUI Data'!E6+'Table1-OUI Data'!K6)/'Table1-OUI Data'!D6</f>
        <v>0.864175832815731</v>
      </c>
      <c r="F5" s="3">
        <f>'Table1-OUI Data'!G6/100</f>
        <v>0.059</v>
      </c>
      <c r="G5" s="9">
        <f t="shared" si="0"/>
        <v>0.217037079057972</v>
      </c>
    </row>
    <row r="6" spans="1:7">
      <c r="A6" s="2">
        <v>1991</v>
      </c>
      <c r="B6" s="2">
        <v>1</v>
      </c>
      <c r="C6" s="8">
        <v>0.585333333333333</v>
      </c>
      <c r="D6" s="4">
        <f>'Table1-OUI Data'!I7*C6/('Table1-OUI Data'!E7+'Table1-OUI Data'!K7)</f>
        <v>0.0499570000917269</v>
      </c>
      <c r="E6" s="4">
        <f>('Table1-OUI Data'!E7+'Table1-OUI Data'!K7)/'Table1-OUI Data'!D7</f>
        <v>0.849328107945648</v>
      </c>
      <c r="F6" s="3">
        <f>'Table1-OUI Data'!G7/100</f>
        <v>0.072</v>
      </c>
      <c r="G6" s="9">
        <f t="shared" si="0"/>
        <v>0.196255022952696</v>
      </c>
    </row>
    <row r="7" spans="1:7">
      <c r="A7" s="2">
        <v>1991</v>
      </c>
      <c r="B7" s="2">
        <v>2</v>
      </c>
      <c r="C7" s="8">
        <v>0.526</v>
      </c>
      <c r="D7" s="4">
        <f>'Table1-OUI Data'!I8*C7/('Table1-OUI Data'!E8+'Table1-OUI Data'!K8)</f>
        <v>0.0424081292079784</v>
      </c>
      <c r="E7" s="4">
        <f>('Table1-OUI Data'!E8+'Table1-OUI Data'!K8)/'Table1-OUI Data'!D8</f>
        <v>0.848494208795758</v>
      </c>
      <c r="F7" s="3">
        <f>'Table1-OUI Data'!G8/100</f>
        <v>0.068</v>
      </c>
      <c r="G7" s="9">
        <f t="shared" si="0"/>
        <v>0.211324911785098</v>
      </c>
    </row>
    <row r="8" spans="1:7">
      <c r="A8" s="2">
        <v>1991</v>
      </c>
      <c r="B8" s="2">
        <v>3</v>
      </c>
      <c r="C8" s="8">
        <v>0.514333333333333</v>
      </c>
      <c r="D8" s="4">
        <f>'Table1-OUI Data'!I9*C8/('Table1-OUI Data'!E9+'Table1-OUI Data'!K9)</f>
        <v>0.0416737271553166</v>
      </c>
      <c r="E8" s="4">
        <f>('Table1-OUI Data'!E9+'Table1-OUI Data'!K9)/'Table1-OUI Data'!D9</f>
        <v>0.834309998370716</v>
      </c>
      <c r="F8" s="3">
        <f>'Table1-OUI Data'!G9/100</f>
        <v>0.068</v>
      </c>
      <c r="G8" s="9">
        <f t="shared" si="0"/>
        <v>0.200562450589492</v>
      </c>
    </row>
    <row r="9" spans="1:7">
      <c r="A9" s="2">
        <v>1991</v>
      </c>
      <c r="B9" s="2">
        <v>4</v>
      </c>
      <c r="C9" s="8">
        <v>0.548</v>
      </c>
      <c r="D9" s="4">
        <f>'Table1-OUI Data'!I10*C9/('Table1-OUI Data'!E10+'Table1-OUI Data'!K10)</f>
        <v>0.043859173717565</v>
      </c>
      <c r="E9" s="4">
        <f>('Table1-OUI Data'!E10+'Table1-OUI Data'!K10)/'Table1-OUI Data'!D10</f>
        <v>0.849861494113695</v>
      </c>
      <c r="F9" s="3">
        <f>'Table1-OUI Data'!G10/100</f>
        <v>0.068</v>
      </c>
      <c r="G9" s="9">
        <f t="shared" si="0"/>
        <v>0.20464954618015</v>
      </c>
    </row>
    <row r="10" spans="1:7">
      <c r="A10" s="2">
        <v>1992</v>
      </c>
      <c r="B10" s="2">
        <v>1</v>
      </c>
      <c r="C10" s="8">
        <v>0.606</v>
      </c>
      <c r="D10" s="4">
        <f>'Table1-OUI Data'!I11*C10/('Table1-OUI Data'!E11+'Table1-OUI Data'!K11)</f>
        <v>0.0587777375828864</v>
      </c>
      <c r="E10" s="4">
        <f>('Table1-OUI Data'!E11+'Table1-OUI Data'!K11)/'Table1-OUI Data'!D11</f>
        <v>0.837486335384327</v>
      </c>
      <c r="F10" s="3">
        <f>'Table1-OUI Data'!G11/100</f>
        <v>0.081</v>
      </c>
      <c r="G10" s="9">
        <f t="shared" si="0"/>
        <v>0.195518623154982</v>
      </c>
    </row>
    <row r="11" spans="1:7">
      <c r="A11" s="2">
        <v>1992</v>
      </c>
      <c r="B11" s="2">
        <v>2</v>
      </c>
      <c r="C11" s="8">
        <v>0.554</v>
      </c>
      <c r="D11" s="4">
        <f>'Table1-OUI Data'!I12*C11/('Table1-OUI Data'!E12+'Table1-OUI Data'!K12)</f>
        <v>0.0501186874222148</v>
      </c>
      <c r="E11" s="4">
        <f>('Table1-OUI Data'!E12+'Table1-OUI Data'!K12)/'Table1-OUI Data'!D12</f>
        <v>0.838731836398742</v>
      </c>
      <c r="F11" s="3">
        <f>'Table1-OUI Data'!G12/100</f>
        <v>0.076</v>
      </c>
      <c r="G11" s="9">
        <f t="shared" si="0"/>
        <v>0.210604873907091</v>
      </c>
    </row>
    <row r="12" spans="1:7">
      <c r="A12" s="2">
        <v>1992</v>
      </c>
      <c r="B12" s="2">
        <v>3</v>
      </c>
      <c r="C12" s="8">
        <v>0.522333333333333</v>
      </c>
      <c r="D12" s="4">
        <f>'Table1-OUI Data'!I13*C12/('Table1-OUI Data'!E13+'Table1-OUI Data'!K13)</f>
        <v>0.0478668400813592</v>
      </c>
      <c r="E12" s="4">
        <f>('Table1-OUI Data'!E13+'Table1-OUI Data'!K13)/'Table1-OUI Data'!D13</f>
        <v>0.824221951498077</v>
      </c>
      <c r="F12" s="3">
        <f>'Table1-OUI Data'!G13/100</f>
        <v>0.076</v>
      </c>
      <c r="G12" s="9">
        <f t="shared" si="0"/>
        <v>0.207916175925096</v>
      </c>
    </row>
    <row r="13" spans="1:7">
      <c r="A13" s="2">
        <v>1992</v>
      </c>
      <c r="B13" s="2">
        <v>4</v>
      </c>
      <c r="C13" s="8">
        <v>0.559333333333333</v>
      </c>
      <c r="D13" s="4">
        <f>'Table1-OUI Data'!I14*C13/('Table1-OUI Data'!E14+'Table1-OUI Data'!K14)</f>
        <v>0.0469588471987734</v>
      </c>
      <c r="E13" s="4">
        <f>('Table1-OUI Data'!E14+'Table1-OUI Data'!K14)/'Table1-OUI Data'!D14</f>
        <v>0.844088487535991</v>
      </c>
      <c r="F13" s="3">
        <f>'Table1-OUI Data'!G14/100</f>
        <v>0.071</v>
      </c>
      <c r="G13" s="9">
        <f t="shared" si="0"/>
        <v>0.201156266114688</v>
      </c>
    </row>
    <row r="14" spans="1:7">
      <c r="A14" s="2">
        <v>1993</v>
      </c>
      <c r="B14" s="2">
        <v>1</v>
      </c>
      <c r="C14" s="8">
        <v>0.581</v>
      </c>
      <c r="D14" s="4">
        <f>'Table1-OUI Data'!I15*C14/('Table1-OUI Data'!E15+'Table1-OUI Data'!K15)</f>
        <v>0.0545047318915752</v>
      </c>
      <c r="E14" s="4">
        <f>('Table1-OUI Data'!E15+'Table1-OUI Data'!K15)/'Table1-OUI Data'!D15</f>
        <v>0.834788913107329</v>
      </c>
      <c r="F14" s="3">
        <f>'Table1-OUI Data'!G15/100</f>
        <v>0.078</v>
      </c>
      <c r="G14" s="9">
        <f t="shared" si="0"/>
        <v>0.196718360228083</v>
      </c>
    </row>
    <row r="15" spans="1:7">
      <c r="A15" s="2">
        <v>1993</v>
      </c>
      <c r="B15" s="2">
        <v>2</v>
      </c>
      <c r="C15" s="8">
        <v>0.523666666666667</v>
      </c>
      <c r="D15" s="4">
        <f>'Table1-OUI Data'!I16*C15/('Table1-OUI Data'!E16+'Table1-OUI Data'!K16)</f>
        <v>0.0440854578091525</v>
      </c>
      <c r="E15" s="4">
        <f>('Table1-OUI Data'!E16+'Table1-OUI Data'!K16)/'Table1-OUI Data'!D16</f>
        <v>0.841575531557915</v>
      </c>
      <c r="F15" s="3">
        <f>'Table1-OUI Data'!G16/100</f>
        <v>0.071</v>
      </c>
      <c r="G15" s="9">
        <f t="shared" si="0"/>
        <v>0.213974253747809</v>
      </c>
    </row>
    <row r="16" spans="1:7">
      <c r="A16" s="2">
        <v>1993</v>
      </c>
      <c r="B16" s="2">
        <v>3</v>
      </c>
      <c r="C16" s="8">
        <v>0.520666666666667</v>
      </c>
      <c r="D16" s="4">
        <f>'Table1-OUI Data'!I17*C16/('Table1-OUI Data'!E17+'Table1-OUI Data'!K17)</f>
        <v>0.0425056108137187</v>
      </c>
      <c r="E16" s="4">
        <f>('Table1-OUI Data'!E17+'Table1-OUI Data'!K17)/'Table1-OUI Data'!D17</f>
        <v>0.831288755590475</v>
      </c>
      <c r="F16" s="3">
        <f>'Table1-OUI Data'!G17/100</f>
        <v>0.068</v>
      </c>
      <c r="G16" s="9">
        <f t="shared" si="0"/>
        <v>0.193618177587258</v>
      </c>
    </row>
    <row r="17" spans="1:7">
      <c r="A17" s="2">
        <v>1993</v>
      </c>
      <c r="B17" s="2">
        <v>4</v>
      </c>
      <c r="C17" s="8">
        <v>0.540333333333333</v>
      </c>
      <c r="D17" s="4">
        <f>'Table1-OUI Data'!I18*C17/('Table1-OUI Data'!E18+'Table1-OUI Data'!K18)</f>
        <v>0.0402586540483513</v>
      </c>
      <c r="E17" s="4">
        <f>('Table1-OUI Data'!E18+'Table1-OUI Data'!K18)/'Table1-OUI Data'!D18</f>
        <v>0.851310352161891</v>
      </c>
      <c r="F17" s="3">
        <f>'Table1-OUI Data'!G18/100</f>
        <v>0.063</v>
      </c>
      <c r="G17" s="9">
        <f t="shared" si="0"/>
        <v>0.1932037062581</v>
      </c>
    </row>
    <row r="18" spans="1:7">
      <c r="A18" s="2">
        <v>1994</v>
      </c>
      <c r="B18" s="2">
        <v>1</v>
      </c>
      <c r="C18" s="8">
        <v>0.530333333333333</v>
      </c>
      <c r="D18" s="4">
        <f>'Table1-OUI Data'!I19*C18/('Table1-OUI Data'!E19+'Table1-OUI Data'!K19)</f>
        <v>0.0451391964704987</v>
      </c>
      <c r="E18" s="4">
        <f>('Table1-OUI Data'!E19+'Table1-OUI Data'!K19)/'Table1-OUI Data'!D19</f>
        <v>0.843194056156558</v>
      </c>
      <c r="F18" s="3">
        <f>'Table1-OUI Data'!G19/100</f>
        <v>0.072</v>
      </c>
      <c r="G18" s="9">
        <f t="shared" si="0"/>
        <v>0.216438847944932</v>
      </c>
    </row>
    <row r="19" spans="1:7">
      <c r="A19" s="2">
        <v>1994</v>
      </c>
      <c r="B19" s="2">
        <v>2</v>
      </c>
      <c r="C19" s="8">
        <v>0.442333333333333</v>
      </c>
      <c r="D19" s="4">
        <f>'Table1-OUI Data'!I20*C19/('Table1-OUI Data'!E20+'Table1-OUI Data'!K20)</f>
        <v>0.0319927892884025</v>
      </c>
      <c r="E19" s="4">
        <f>('Table1-OUI Data'!E20+'Table1-OUI Data'!K20)/'Table1-OUI Data'!D20</f>
        <v>0.854442855530049</v>
      </c>
      <c r="F19" s="3">
        <f>'Table1-OUI Data'!G20/100</f>
        <v>0.062</v>
      </c>
      <c r="G19" s="9">
        <f t="shared" si="0"/>
        <v>0.238146948336173</v>
      </c>
    </row>
    <row r="20" spans="1:7">
      <c r="A20" s="2">
        <v>1994</v>
      </c>
      <c r="B20" s="2">
        <v>3</v>
      </c>
      <c r="C20" s="8">
        <v>0.444666666666667</v>
      </c>
      <c r="D20" s="4">
        <f>'Table1-OUI Data'!I21*C20/('Table1-OUI Data'!E21+'Table1-OUI Data'!K21)</f>
        <v>0.0316089160405603</v>
      </c>
      <c r="E20" s="4">
        <f>('Table1-OUI Data'!E21+'Table1-OUI Data'!K21)/'Table1-OUI Data'!D21</f>
        <v>0.845264628313442</v>
      </c>
      <c r="F20" s="3">
        <f>'Table1-OUI Data'!G21/100</f>
        <v>0.06</v>
      </c>
      <c r="G20" s="9">
        <f t="shared" si="0"/>
        <v>0.215090453907354</v>
      </c>
    </row>
    <row r="21" spans="1:7">
      <c r="A21" s="2">
        <v>1994</v>
      </c>
      <c r="B21" s="2">
        <v>4</v>
      </c>
      <c r="C21" s="8">
        <v>0.483666666666667</v>
      </c>
      <c r="D21" s="4">
        <f>'Table1-OUI Data'!I22*C21/('Table1-OUI Data'!E22+'Table1-OUI Data'!K22)</f>
        <v>0.0299797376831085</v>
      </c>
      <c r="E21" s="4">
        <f>('Table1-OUI Data'!E22+'Table1-OUI Data'!K22)/'Table1-OUI Data'!D22</f>
        <v>0.860882880191216</v>
      </c>
      <c r="F21" s="3">
        <f>'Table1-OUI Data'!G22/100</f>
        <v>0.053</v>
      </c>
      <c r="G21" s="9">
        <f t="shared" si="0"/>
        <v>0.195453709172259</v>
      </c>
    </row>
    <row r="22" spans="1:7">
      <c r="A22" s="2">
        <v>1995</v>
      </c>
      <c r="B22" s="2">
        <v>1</v>
      </c>
      <c r="C22" s="8">
        <v>0.515</v>
      </c>
      <c r="D22" s="4">
        <f>'Table1-OUI Data'!I23*C22/('Table1-OUI Data'!E23+'Table1-OUI Data'!K23)</f>
        <v>0.0359483656412725</v>
      </c>
      <c r="E22" s="4">
        <f>('Table1-OUI Data'!E23+'Table1-OUI Data'!K23)/'Table1-OUI Data'!D23</f>
        <v>0.856661968451988</v>
      </c>
      <c r="F22" s="3">
        <f>'Table1-OUI Data'!G23/100</f>
        <v>0.06</v>
      </c>
      <c r="G22" s="9">
        <f t="shared" si="0"/>
        <v>0.203744965740886</v>
      </c>
    </row>
    <row r="23" spans="1:7">
      <c r="A23" s="2">
        <v>1995</v>
      </c>
      <c r="B23" s="2">
        <v>2</v>
      </c>
      <c r="C23" s="8">
        <v>0.445666666666667</v>
      </c>
      <c r="D23" s="4">
        <f>'Table1-OUI Data'!I24*C23/('Table1-OUI Data'!E24+'Table1-OUI Data'!K24)</f>
        <v>0.0293040898717146</v>
      </c>
      <c r="E23" s="4">
        <f>('Table1-OUI Data'!E24+'Table1-OUI Data'!K24)/'Table1-OUI Data'!D24</f>
        <v>0.864315718358377</v>
      </c>
      <c r="F23" s="3">
        <f>'Table1-OUI Data'!G24/100</f>
        <v>0.057</v>
      </c>
      <c r="G23" s="9">
        <f t="shared" si="0"/>
        <v>0.23342434457769</v>
      </c>
    </row>
    <row r="24" spans="1:7">
      <c r="A24" s="2">
        <v>1995</v>
      </c>
      <c r="B24" s="2">
        <v>3</v>
      </c>
      <c r="C24" s="8">
        <v>0.436</v>
      </c>
      <c r="D24" s="4">
        <f>'Table1-OUI Data'!I25*C24/('Table1-OUI Data'!E25+'Table1-OUI Data'!K25)</f>
        <v>0.0290900774854067</v>
      </c>
      <c r="E24" s="4">
        <f>('Table1-OUI Data'!E25+'Table1-OUI Data'!K25)/'Table1-OUI Data'!D25</f>
        <v>0.85397311179137</v>
      </c>
      <c r="F24" s="3">
        <f>'Table1-OUI Data'!G25/100</f>
        <v>0.057</v>
      </c>
      <c r="G24" s="9">
        <f t="shared" si="0"/>
        <v>0.220218730961321</v>
      </c>
    </row>
    <row r="25" spans="1:7">
      <c r="A25" s="2">
        <v>1995</v>
      </c>
      <c r="B25" s="2">
        <v>4</v>
      </c>
      <c r="C25" s="8">
        <v>0.481</v>
      </c>
      <c r="D25" s="4">
        <f>'Table1-OUI Data'!I26*C25/('Table1-OUI Data'!E26+'Table1-OUI Data'!K26)</f>
        <v>0.0291822200059703</v>
      </c>
      <c r="E25" s="4">
        <f>('Table1-OUI Data'!E26+'Table1-OUI Data'!K26)/'Table1-OUI Data'!D26</f>
        <v>0.872733732014921</v>
      </c>
      <c r="F25" s="3">
        <f>'Table1-OUI Data'!G26/100</f>
        <v>0.053</v>
      </c>
      <c r="G25" s="9">
        <f t="shared" si="0"/>
        <v>0.216331418070159</v>
      </c>
    </row>
    <row r="26" spans="1:7">
      <c r="A26" s="2">
        <v>1996</v>
      </c>
      <c r="B26" s="2">
        <v>1</v>
      </c>
      <c r="C26" s="8">
        <v>0.519</v>
      </c>
      <c r="D26" s="4">
        <f>'Table1-OUI Data'!I27*C26/('Table1-OUI Data'!E27+'Table1-OUI Data'!K27)</f>
        <v>0.0363905315556972</v>
      </c>
      <c r="E26" s="4">
        <f>('Table1-OUI Data'!E27+'Table1-OUI Data'!K27)/'Table1-OUI Data'!D27</f>
        <v>0.866410913140312</v>
      </c>
      <c r="F26" s="3">
        <f>'Table1-OUI Data'!G27/100</f>
        <v>0.061</v>
      </c>
      <c r="G26" s="9">
        <f t="shared" si="0"/>
        <v>0.220608187524487</v>
      </c>
    </row>
    <row r="27" spans="1:7">
      <c r="A27" s="2">
        <v>1996</v>
      </c>
      <c r="B27" s="2">
        <v>2</v>
      </c>
      <c r="C27" s="8">
        <v>0.457</v>
      </c>
      <c r="D27" s="4">
        <f>'Table1-OUI Data'!I28*C27/('Table1-OUI Data'!E28+'Table1-OUI Data'!K28)</f>
        <v>0.0287289475475895</v>
      </c>
      <c r="E27" s="4">
        <f>('Table1-OUI Data'!E28+'Table1-OUI Data'!K28)/'Table1-OUI Data'!D28</f>
        <v>0.871771817981974</v>
      </c>
      <c r="F27" s="3">
        <f>'Table1-OUI Data'!G28/100</f>
        <v>0.055</v>
      </c>
      <c r="G27" s="9">
        <f t="shared" si="0"/>
        <v>0.233606315681199</v>
      </c>
    </row>
    <row r="28" spans="1:7">
      <c r="A28" s="2">
        <v>1996</v>
      </c>
      <c r="B28" s="2">
        <v>3</v>
      </c>
      <c r="C28" s="8">
        <v>0.426333333333333</v>
      </c>
      <c r="D28" s="4">
        <f>'Table1-OUI Data'!I29*C28/('Table1-OUI Data'!E29+'Table1-OUI Data'!K29)</f>
        <v>0.0264086545579759</v>
      </c>
      <c r="E28" s="4">
        <f>('Table1-OUI Data'!E29+'Table1-OUI Data'!K29)/'Table1-OUI Data'!D29</f>
        <v>0.859556033795632</v>
      </c>
      <c r="F28" s="3">
        <f>'Table1-OUI Data'!G29/100</f>
        <v>0.053</v>
      </c>
      <c r="G28" s="9">
        <f t="shared" si="0"/>
        <v>0.215746410822489</v>
      </c>
    </row>
    <row r="29" spans="1:7">
      <c r="A29" s="2">
        <v>1996</v>
      </c>
      <c r="B29" s="2">
        <v>4</v>
      </c>
      <c r="C29" s="8">
        <v>0.453666666666667</v>
      </c>
      <c r="D29" s="4">
        <f>'Table1-OUI Data'!I30*C29/('Table1-OUI Data'!E30+'Table1-OUI Data'!K30)</f>
        <v>0.026000651035625</v>
      </c>
      <c r="E29" s="4">
        <f>('Table1-OUI Data'!E30+'Table1-OUI Data'!K30)/'Table1-OUI Data'!D30</f>
        <v>0.875902720826771</v>
      </c>
      <c r="F29" s="3">
        <f>'Table1-OUI Data'!G30/100</f>
        <v>0.05</v>
      </c>
      <c r="G29" s="9">
        <f t="shared" si="0"/>
        <v>0.219392070446796</v>
      </c>
    </row>
    <row r="30" spans="1:7">
      <c r="A30" s="2">
        <v>1997</v>
      </c>
      <c r="B30" s="2">
        <v>1</v>
      </c>
      <c r="C30" s="8">
        <v>0.486</v>
      </c>
      <c r="D30" s="4">
        <f>'Table1-OUI Data'!I31*C30/('Table1-OUI Data'!E31+'Table1-OUI Data'!K31)</f>
        <v>0.0322069324381032</v>
      </c>
      <c r="E30" s="4">
        <f>('Table1-OUI Data'!E31+'Table1-OUI Data'!K31)/'Table1-OUI Data'!D31</f>
        <v>0.866778696812961</v>
      </c>
      <c r="F30" s="3">
        <f>'Table1-OUI Data'!G31/100</f>
        <v>0.057</v>
      </c>
      <c r="G30" s="9">
        <f t="shared" si="0"/>
        <v>0.218311308906242</v>
      </c>
    </row>
    <row r="31" spans="1:7">
      <c r="A31" s="2">
        <v>1997</v>
      </c>
      <c r="B31" s="2">
        <v>2</v>
      </c>
      <c r="C31" s="8">
        <v>0.431</v>
      </c>
      <c r="D31" s="4">
        <f>'Table1-OUI Data'!I32*C31/('Table1-OUI Data'!E32+'Table1-OUI Data'!K32)</f>
        <v>0.0245292306489324</v>
      </c>
      <c r="E31" s="4">
        <f>('Table1-OUI Data'!E32+'Table1-OUI Data'!K32)/'Table1-OUI Data'!D32</f>
        <v>0.875882763433357</v>
      </c>
      <c r="F31" s="3">
        <f>'Table1-OUI Data'!G32/100</f>
        <v>0.05</v>
      </c>
      <c r="G31" s="9">
        <f t="shared" si="0"/>
        <v>0.229744638723147</v>
      </c>
    </row>
    <row r="32" spans="1:7">
      <c r="A32" s="2">
        <v>1997</v>
      </c>
      <c r="B32" s="2">
        <v>3</v>
      </c>
      <c r="C32" s="8">
        <v>0.419333333333333</v>
      </c>
      <c r="D32" s="4">
        <f>'Table1-OUI Data'!I33*C32/('Table1-OUI Data'!E33+'Table1-OUI Data'!K33)</f>
        <v>0.0238164790991941</v>
      </c>
      <c r="E32" s="4">
        <f>('Table1-OUI Data'!E33+'Table1-OUI Data'!K33)/'Table1-OUI Data'!D33</f>
        <v>0.867796005960402</v>
      </c>
      <c r="F32" s="3">
        <f>'Table1-OUI Data'!G33/100</f>
        <v>0.049</v>
      </c>
      <c r="G32" s="9">
        <f t="shared" si="0"/>
        <v>0.214306343522374</v>
      </c>
    </row>
    <row r="33" spans="1:7">
      <c r="A33" s="2">
        <v>1997</v>
      </c>
      <c r="B33" s="2">
        <v>4</v>
      </c>
      <c r="C33" s="8">
        <v>0.463</v>
      </c>
      <c r="D33" s="4">
        <f>'Table1-OUI Data'!I34*C33/('Table1-OUI Data'!E34+'Table1-OUI Data'!K34)</f>
        <v>0.0232122797267924</v>
      </c>
      <c r="E33" s="4">
        <f>('Table1-OUI Data'!E34+'Table1-OUI Data'!K34)/'Table1-OUI Data'!D34</f>
        <v>0.884520901932713</v>
      </c>
      <c r="F33" s="3">
        <f>'Table1-OUI Data'!G34/100</f>
        <v>0.044</v>
      </c>
      <c r="G33" s="9">
        <f t="shared" si="0"/>
        <v>0.203225118596517</v>
      </c>
    </row>
    <row r="34" spans="1:7">
      <c r="A34" s="2">
        <v>1998</v>
      </c>
      <c r="B34" s="2">
        <v>1</v>
      </c>
      <c r="C34" s="8">
        <v>0.489</v>
      </c>
      <c r="D34" s="4">
        <f>'Table1-OUI Data'!I35*C34/('Table1-OUI Data'!E35+'Table1-OUI Data'!K35)</f>
        <v>0.0286199742119093</v>
      </c>
      <c r="E34" s="4">
        <f>('Table1-OUI Data'!E35+'Table1-OUI Data'!K35)/'Table1-OUI Data'!D35</f>
        <v>0.877611552698786</v>
      </c>
      <c r="F34" s="3">
        <f>'Table1-OUI Data'!G35/100</f>
        <v>0.051</v>
      </c>
      <c r="G34" s="9">
        <f t="shared" si="0"/>
        <v>0.211480581414569</v>
      </c>
    </row>
    <row r="35" spans="1:7">
      <c r="A35" s="2">
        <v>1998</v>
      </c>
      <c r="B35" s="2">
        <v>2</v>
      </c>
      <c r="C35" s="8">
        <v>0.436</v>
      </c>
      <c r="D35" s="4">
        <f>'Table1-OUI Data'!I36*C35/('Table1-OUI Data'!E36+'Table1-OUI Data'!K36)</f>
        <v>0.0217227076966307</v>
      </c>
      <c r="E35" s="4">
        <f>('Table1-OUI Data'!E36+'Table1-OUI Data'!K36)/'Table1-OUI Data'!D36</f>
        <v>0.889331772641885</v>
      </c>
      <c r="F35" s="3">
        <f>'Table1-OUI Data'!G36/100</f>
        <v>0.044</v>
      </c>
      <c r="G35" s="9">
        <f t="shared" ref="G35:G66" si="1">(F35-E35*D35)/(1-E35)</f>
        <v>0.223020702931356</v>
      </c>
    </row>
    <row r="36" spans="1:7">
      <c r="A36" s="2">
        <v>1998</v>
      </c>
      <c r="B36" s="2">
        <v>3</v>
      </c>
      <c r="C36" s="8">
        <v>0.431</v>
      </c>
      <c r="D36" s="4">
        <f>'Table1-OUI Data'!I37*C36/('Table1-OUI Data'!E37+'Table1-OUI Data'!K37)</f>
        <v>0.0225029472925318</v>
      </c>
      <c r="E36" s="4">
        <f>('Table1-OUI Data'!E37+'Table1-OUI Data'!K37)/'Table1-OUI Data'!D37</f>
        <v>0.880407151983172</v>
      </c>
      <c r="F36" s="3">
        <f>'Table1-OUI Data'!G37/100</f>
        <v>0.046</v>
      </c>
      <c r="G36" s="9">
        <f t="shared" si="1"/>
        <v>0.218978347762649</v>
      </c>
    </row>
    <row r="37" spans="1:7">
      <c r="A37" s="2">
        <v>1998</v>
      </c>
      <c r="B37" s="2">
        <v>4</v>
      </c>
      <c r="C37" s="8">
        <v>0.460333333333333</v>
      </c>
      <c r="D37" s="4">
        <f>'Table1-OUI Data'!I38*C37/('Table1-OUI Data'!E38+'Table1-OUI Data'!K38)</f>
        <v>0.0215646028553028</v>
      </c>
      <c r="E37" s="4">
        <f>('Table1-OUI Data'!E38+'Table1-OUI Data'!K38)/'Table1-OUI Data'!D38</f>
        <v>0.89622037889556</v>
      </c>
      <c r="F37" s="3">
        <f>'Table1-OUI Data'!G38/100</f>
        <v>0.042</v>
      </c>
      <c r="G37" s="9">
        <f t="shared" si="1"/>
        <v>0.21847606704471</v>
      </c>
    </row>
    <row r="38" spans="1:7">
      <c r="A38" s="2">
        <v>1999</v>
      </c>
      <c r="B38" s="2">
        <v>1</v>
      </c>
      <c r="C38" s="8">
        <v>0.488666666666667</v>
      </c>
      <c r="D38" s="4">
        <f>'Table1-OUI Data'!I39*C38/('Table1-OUI Data'!E39+'Table1-OUI Data'!K39)</f>
        <v>0.0260069530240948</v>
      </c>
      <c r="E38" s="4">
        <f>('Table1-OUI Data'!E39+'Table1-OUI Data'!K39)/'Table1-OUI Data'!D39</f>
        <v>0.886845855289251</v>
      </c>
      <c r="F38" s="3">
        <f>'Table1-OUI Data'!G39/100</f>
        <v>0.047</v>
      </c>
      <c r="G38" s="9">
        <f t="shared" si="1"/>
        <v>0.21153305133511</v>
      </c>
    </row>
    <row r="39" spans="1:7">
      <c r="A39" s="2">
        <v>1999</v>
      </c>
      <c r="B39" s="2">
        <v>2</v>
      </c>
      <c r="C39" s="8">
        <v>0.43</v>
      </c>
      <c r="D39" s="4">
        <f>'Table1-OUI Data'!I40*C39/('Table1-OUI Data'!E40+'Table1-OUI Data'!K40)</f>
        <v>0.0202713283396898</v>
      </c>
      <c r="E39" s="4">
        <f>('Table1-OUI Data'!E40+'Table1-OUI Data'!K40)/'Table1-OUI Data'!D40</f>
        <v>0.898080247954795</v>
      </c>
      <c r="F39" s="3">
        <f>'Table1-OUI Data'!G40/100</f>
        <v>0.042</v>
      </c>
      <c r="G39" s="9">
        <f t="shared" si="1"/>
        <v>0.233465250266351</v>
      </c>
    </row>
    <row r="40" spans="1:7">
      <c r="A40" s="2">
        <v>1999</v>
      </c>
      <c r="B40" s="2">
        <v>3</v>
      </c>
      <c r="C40" s="8">
        <v>0.425666666666667</v>
      </c>
      <c r="D40" s="4">
        <f>'Table1-OUI Data'!I41*C40/('Table1-OUI Data'!E41+'Table1-OUI Data'!K41)</f>
        <v>0.0205288754696905</v>
      </c>
      <c r="E40" s="4">
        <f>('Table1-OUI Data'!E41+'Table1-OUI Data'!K41)/'Table1-OUI Data'!D41</f>
        <v>0.891099957387654</v>
      </c>
      <c r="F40" s="3">
        <f>'Table1-OUI Data'!G41/100</f>
        <v>0.043</v>
      </c>
      <c r="G40" s="9">
        <f t="shared" si="1"/>
        <v>0.226875209146532</v>
      </c>
    </row>
    <row r="41" spans="1:7">
      <c r="A41" s="2">
        <v>1999</v>
      </c>
      <c r="B41" s="2">
        <v>4</v>
      </c>
      <c r="C41" s="8">
        <v>0.434666666666667</v>
      </c>
      <c r="D41" s="4">
        <f>'Table1-OUI Data'!I42*C41/('Table1-OUI Data'!E42+'Table1-OUI Data'!K42)</f>
        <v>0.018591517880244</v>
      </c>
      <c r="E41" s="4">
        <f>('Table1-OUI Data'!E42+'Table1-OUI Data'!K42)/'Table1-OUI Data'!D42</f>
        <v>0.906039256848956</v>
      </c>
      <c r="F41" s="3">
        <f>'Table1-OUI Data'!G42/100</f>
        <v>0.039</v>
      </c>
      <c r="G41" s="9">
        <f t="shared" si="1"/>
        <v>0.235793739098832</v>
      </c>
    </row>
    <row r="42" spans="1:7">
      <c r="A42" s="2">
        <v>2000</v>
      </c>
      <c r="B42" s="2">
        <v>1</v>
      </c>
      <c r="C42" s="8">
        <v>0.482</v>
      </c>
      <c r="D42" s="4">
        <f>'Table1-OUI Data'!I43*C42/('Table1-OUI Data'!E43+'Table1-OUI Data'!K43)</f>
        <v>0.0239662218289526</v>
      </c>
      <c r="E42" s="4">
        <f>('Table1-OUI Data'!E43+'Table1-OUI Data'!K43)/'Table1-OUI Data'!D43</f>
        <v>0.8948433287233</v>
      </c>
      <c r="F42" s="3">
        <f>'Table1-OUI Data'!G43/100</f>
        <v>0.044</v>
      </c>
      <c r="G42" s="9">
        <f t="shared" si="1"/>
        <v>0.214479842389767</v>
      </c>
    </row>
    <row r="43" spans="1:7">
      <c r="A43" s="2">
        <v>2000</v>
      </c>
      <c r="B43" s="2">
        <v>2</v>
      </c>
      <c r="C43" s="8">
        <v>0.407</v>
      </c>
      <c r="D43" s="4">
        <f>'Table1-OUI Data'!I44*C43/('Table1-OUI Data'!E44+'Table1-OUI Data'!K44)</f>
        <v>0.0176940332963667</v>
      </c>
      <c r="E43" s="4">
        <f>('Table1-OUI Data'!E44+'Table1-OUI Data'!K44)/'Table1-OUI Data'!D44</f>
        <v>0.906403455771541</v>
      </c>
      <c r="F43" s="3">
        <f>'Table1-OUI Data'!G44/100</f>
        <v>0.039</v>
      </c>
      <c r="G43" s="9">
        <f t="shared" si="1"/>
        <v>0.245330287169457</v>
      </c>
    </row>
    <row r="44" spans="1:7">
      <c r="A44" s="2">
        <v>2000</v>
      </c>
      <c r="B44" s="2">
        <v>3</v>
      </c>
      <c r="C44" s="8">
        <v>0.426666666666667</v>
      </c>
      <c r="D44" s="4">
        <f>'Table1-OUI Data'!I45*C44/('Table1-OUI Data'!E45+'Table1-OUI Data'!K45)</f>
        <v>0.0192740063517264</v>
      </c>
      <c r="E44" s="4">
        <f>('Table1-OUI Data'!E45+'Table1-OUI Data'!K45)/'Table1-OUI Data'!D45</f>
        <v>0.902563459165708</v>
      </c>
      <c r="F44" s="3">
        <f>'Table1-OUI Data'!G45/100</f>
        <v>0.041</v>
      </c>
      <c r="G44" s="9">
        <f t="shared" si="1"/>
        <v>0.242249837207857</v>
      </c>
    </row>
    <row r="45" spans="1:7">
      <c r="A45" s="2">
        <v>2000</v>
      </c>
      <c r="B45" s="2">
        <v>4</v>
      </c>
      <c r="C45" s="8">
        <v>0.448666666666667</v>
      </c>
      <c r="D45" s="4">
        <f>'Table1-OUI Data'!I46*C45/('Table1-OUI Data'!E46+'Table1-OUI Data'!K46)</f>
        <v>0.0183087433114065</v>
      </c>
      <c r="E45" s="4">
        <f>('Table1-OUI Data'!E46+'Table1-OUI Data'!K46)/'Table1-OUI Data'!D46</f>
        <v>0.915623586541797</v>
      </c>
      <c r="F45" s="3">
        <f>'Table1-OUI Data'!G46/100</f>
        <v>0.037</v>
      </c>
      <c r="G45" s="9">
        <f t="shared" si="1"/>
        <v>0.239831037546542</v>
      </c>
    </row>
    <row r="46" spans="1:7">
      <c r="A46" s="2">
        <v>2001</v>
      </c>
      <c r="B46" s="2">
        <v>1</v>
      </c>
      <c r="C46" s="8">
        <v>0.517</v>
      </c>
      <c r="D46" s="4">
        <f>'Table1-OUI Data'!I47*C46/('Table1-OUI Data'!E47+'Table1-OUI Data'!K47)</f>
        <v>0.0266065405756225</v>
      </c>
      <c r="E46" s="4">
        <f>('Table1-OUI Data'!E47+'Table1-OUI Data'!K47)/'Table1-OUI Data'!D47</f>
        <v>0.900094261983305</v>
      </c>
      <c r="F46" s="3">
        <f>'Table1-OUI Data'!G47/100</f>
        <v>0.046</v>
      </c>
      <c r="G46" s="9">
        <f t="shared" si="1"/>
        <v>0.220724113893952</v>
      </c>
    </row>
    <row r="47" spans="1:7">
      <c r="A47" s="2">
        <v>2001</v>
      </c>
      <c r="B47" s="2">
        <v>2</v>
      </c>
      <c r="C47" s="8">
        <v>0.481666666666667</v>
      </c>
      <c r="D47" s="4">
        <f>'Table1-OUI Data'!I48*C47/('Table1-OUI Data'!E48+'Table1-OUI Data'!K48)</f>
        <v>0.0233912369365102</v>
      </c>
      <c r="E47" s="4">
        <f>('Table1-OUI Data'!E48+'Table1-OUI Data'!K48)/'Table1-OUI Data'!D48</f>
        <v>0.909780436642654</v>
      </c>
      <c r="F47" s="3">
        <f>'Table1-OUI Data'!G48/100</f>
        <v>0.044</v>
      </c>
      <c r="G47" s="9">
        <f t="shared" si="1"/>
        <v>0.251820219482808</v>
      </c>
    </row>
    <row r="48" spans="1:7">
      <c r="A48" s="2">
        <v>2001</v>
      </c>
      <c r="B48" s="2">
        <v>3</v>
      </c>
      <c r="C48" s="8">
        <v>0.487</v>
      </c>
      <c r="D48" s="4">
        <f>'Table1-OUI Data'!I49*C48/('Table1-OUI Data'!E49+'Table1-OUI Data'!K49)</f>
        <v>0.0262624737912081</v>
      </c>
      <c r="E48" s="4">
        <f>('Table1-OUI Data'!E49+'Table1-OUI Data'!K49)/'Table1-OUI Data'!D49</f>
        <v>0.897399041469838</v>
      </c>
      <c r="F48" s="3">
        <f>'Table1-OUI Data'!G49/100</f>
        <v>0.048</v>
      </c>
      <c r="G48" s="9">
        <f t="shared" si="1"/>
        <v>0.238127221647357</v>
      </c>
    </row>
    <row r="49" spans="1:7">
      <c r="A49" s="2">
        <v>2001</v>
      </c>
      <c r="B49" s="2">
        <v>4</v>
      </c>
      <c r="C49" s="8">
        <v>0.552666666666667</v>
      </c>
      <c r="D49" s="4">
        <f>'Table1-OUI Data'!I50*C49/('Table1-OUI Data'!E50+'Table1-OUI Data'!K50)</f>
        <v>0.0323024448155982</v>
      </c>
      <c r="E49" s="4">
        <f>('Table1-OUI Data'!E50+'Table1-OUI Data'!K50)/'Table1-OUI Data'!D50</f>
        <v>0.903573178789714</v>
      </c>
      <c r="F49" s="3">
        <f>'Table1-OUI Data'!G50/100</f>
        <v>0.053</v>
      </c>
      <c r="G49" s="9">
        <f t="shared" si="1"/>
        <v>0.246947653737968</v>
      </c>
    </row>
    <row r="50" spans="1:7">
      <c r="A50" s="2">
        <v>2002</v>
      </c>
      <c r="B50" s="2">
        <v>1</v>
      </c>
      <c r="C50" s="8">
        <v>0.578333333333333</v>
      </c>
      <c r="D50" s="4">
        <f>'Table1-OUI Data'!I51*C50/('Table1-OUI Data'!E51+'Table1-OUI Data'!K51)</f>
        <v>0.0405363575765367</v>
      </c>
      <c r="E50" s="4">
        <f>('Table1-OUI Data'!E51+'Table1-OUI Data'!K51)/'Table1-OUI Data'!D51</f>
        <v>0.888969520045716</v>
      </c>
      <c r="F50" s="3">
        <f>'Table1-OUI Data'!G51/100</f>
        <v>0.062</v>
      </c>
      <c r="G50" s="9">
        <f t="shared" si="1"/>
        <v>0.233849422892483</v>
      </c>
    </row>
    <row r="51" spans="1:7">
      <c r="A51" s="2">
        <v>2002</v>
      </c>
      <c r="B51" s="2">
        <v>2</v>
      </c>
      <c r="C51" s="8">
        <v>0.527333333333333</v>
      </c>
      <c r="D51" s="4">
        <f>'Table1-OUI Data'!I52*C51/('Table1-OUI Data'!E52+'Table1-OUI Data'!K52)</f>
        <v>0.034210789658265</v>
      </c>
      <c r="E51" s="4">
        <f>('Table1-OUI Data'!E52+'Table1-OUI Data'!K52)/'Table1-OUI Data'!D52</f>
        <v>0.895891104346934</v>
      </c>
      <c r="F51" s="3">
        <f>'Table1-OUI Data'!G52/100</f>
        <v>0.058</v>
      </c>
      <c r="G51" s="9">
        <f t="shared" si="1"/>
        <v>0.262713937179976</v>
      </c>
    </row>
    <row r="52" spans="1:7">
      <c r="A52" s="2">
        <v>2002</v>
      </c>
      <c r="B52" s="2">
        <v>3</v>
      </c>
      <c r="C52" s="8">
        <v>0.531333333333333</v>
      </c>
      <c r="D52" s="4">
        <f>'Table1-OUI Data'!I53*C52/('Table1-OUI Data'!E53+'Table1-OUI Data'!K53)</f>
        <v>0.0344954005001156</v>
      </c>
      <c r="E52" s="4">
        <f>('Table1-OUI Data'!E53+'Table1-OUI Data'!K53)/'Table1-OUI Data'!D53</f>
        <v>0.883503137463079</v>
      </c>
      <c r="F52" s="3">
        <f>'Table1-OUI Data'!G53/100</f>
        <v>0.057</v>
      </c>
      <c r="G52" s="9">
        <f t="shared" si="1"/>
        <v>0.227673130868193</v>
      </c>
    </row>
    <row r="53" spans="1:7">
      <c r="A53" s="2">
        <v>2002</v>
      </c>
      <c r="B53" s="2">
        <v>4</v>
      </c>
      <c r="C53" s="8">
        <v>0.560666666666667</v>
      </c>
      <c r="D53" s="4">
        <f>'Table1-OUI Data'!I54*C53/('Table1-OUI Data'!E54+'Table1-OUI Data'!K54)</f>
        <v>0.0351515205228461</v>
      </c>
      <c r="E53" s="4">
        <f>('Table1-OUI Data'!E54+'Table1-OUI Data'!K54)/'Table1-OUI Data'!D54</f>
        <v>0.894822451630546</v>
      </c>
      <c r="F53" s="3">
        <f>'Table1-OUI Data'!G54/100</f>
        <v>0.056</v>
      </c>
      <c r="G53" s="9">
        <f t="shared" si="1"/>
        <v>0.233373287433785</v>
      </c>
    </row>
    <row r="54" spans="1:7">
      <c r="A54" s="2">
        <v>2003</v>
      </c>
      <c r="B54" s="2">
        <v>1</v>
      </c>
      <c r="C54" s="8">
        <v>0.588</v>
      </c>
      <c r="D54" s="4">
        <f>'Table1-OUI Data'!I55*C54/('Table1-OUI Data'!E55+'Table1-OUI Data'!K55)</f>
        <v>0.0426502538394446</v>
      </c>
      <c r="E54" s="4">
        <f>('Table1-OUI Data'!E55+'Table1-OUI Data'!K55)/'Table1-OUI Data'!D55</f>
        <v>0.879274541587158</v>
      </c>
      <c r="F54" s="3">
        <f>'Table1-OUI Data'!G55/100</f>
        <v>0.064</v>
      </c>
      <c r="G54" s="9">
        <f t="shared" si="1"/>
        <v>0.219495688441534</v>
      </c>
    </row>
    <row r="55" spans="1:7">
      <c r="A55" s="2">
        <v>2003</v>
      </c>
      <c r="B55" s="2">
        <v>2</v>
      </c>
      <c r="C55" s="8">
        <v>0.53</v>
      </c>
      <c r="D55" s="4">
        <f>'Table1-OUI Data'!I56*C55/('Table1-OUI Data'!E56+'Table1-OUI Data'!K56)</f>
        <v>0.036626869563655</v>
      </c>
      <c r="E55" s="4">
        <f>('Table1-OUI Data'!E56+'Table1-OUI Data'!K56)/'Table1-OUI Data'!D56</f>
        <v>0.884453635412846</v>
      </c>
      <c r="F55" s="3">
        <f>'Table1-OUI Data'!G56/100</f>
        <v>0.061</v>
      </c>
      <c r="G55" s="9">
        <f t="shared" si="1"/>
        <v>0.247564968078741</v>
      </c>
    </row>
    <row r="56" spans="1:7">
      <c r="A56" s="2">
        <v>2003</v>
      </c>
      <c r="B56" s="2">
        <v>3</v>
      </c>
      <c r="C56" s="8">
        <v>0.535666666666667</v>
      </c>
      <c r="D56" s="4">
        <f>'Table1-OUI Data'!I57*C56/('Table1-OUI Data'!E57+'Table1-OUI Data'!K57)</f>
        <v>0.0371670003063383</v>
      </c>
      <c r="E56" s="4">
        <f>('Table1-OUI Data'!E57+'Table1-OUI Data'!K57)/'Table1-OUI Data'!D57</f>
        <v>0.876635463937106</v>
      </c>
      <c r="F56" s="3">
        <f>'Table1-OUI Data'!G57/100</f>
        <v>0.061</v>
      </c>
      <c r="G56" s="9">
        <f t="shared" si="1"/>
        <v>0.230358661818453</v>
      </c>
    </row>
    <row r="57" spans="1:7">
      <c r="A57" s="2">
        <v>2003</v>
      </c>
      <c r="B57" s="2">
        <v>4</v>
      </c>
      <c r="C57" s="8">
        <v>0.552333333333333</v>
      </c>
      <c r="D57" s="4">
        <f>'Table1-OUI Data'!I58*C57/('Table1-OUI Data'!E58+'Table1-OUI Data'!K58)</f>
        <v>0.0347068386463862</v>
      </c>
      <c r="E57" s="4">
        <f>('Table1-OUI Data'!E58+'Table1-OUI Data'!K58)/'Table1-OUI Data'!D58</f>
        <v>0.888493302433687</v>
      </c>
      <c r="F57" s="3">
        <f>'Table1-OUI Data'!G58/100</f>
        <v>0.056</v>
      </c>
      <c r="G57" s="9">
        <f t="shared" si="1"/>
        <v>0.225665425155961</v>
      </c>
    </row>
    <row r="58" spans="1:7">
      <c r="A58" s="2">
        <v>2004</v>
      </c>
      <c r="B58" s="2">
        <v>1</v>
      </c>
      <c r="C58" s="8">
        <v>0.560666666666667</v>
      </c>
      <c r="D58" s="4">
        <f>'Table1-OUI Data'!I59*C58/('Table1-OUI Data'!E59+'Table1-OUI Data'!K59)</f>
        <v>0.0392734091385248</v>
      </c>
      <c r="E58" s="4">
        <f>('Table1-OUI Data'!E59+'Table1-OUI Data'!K59)/'Table1-OUI Data'!D59</f>
        <v>0.876772077387393</v>
      </c>
      <c r="F58" s="3">
        <f>'Table1-OUI Data'!G59/100</f>
        <v>0.061</v>
      </c>
      <c r="G58" s="9">
        <f t="shared" si="1"/>
        <v>0.21558564747575</v>
      </c>
    </row>
    <row r="59" spans="1:7">
      <c r="A59" s="2">
        <v>2004</v>
      </c>
      <c r="B59" s="2">
        <v>2</v>
      </c>
      <c r="C59" s="8">
        <v>0.494666666666667</v>
      </c>
      <c r="D59" s="4">
        <f>'Table1-OUI Data'!I60*C59/('Table1-OUI Data'!E60+'Table1-OUI Data'!K60)</f>
        <v>0.0309103151027731</v>
      </c>
      <c r="E59" s="4">
        <f>('Table1-OUI Data'!E60+'Table1-OUI Data'!K60)/'Table1-OUI Data'!D60</f>
        <v>0.886431204886926</v>
      </c>
      <c r="F59" s="3">
        <f>'Table1-OUI Data'!G60/100</f>
        <v>0.055</v>
      </c>
      <c r="G59" s="9">
        <f t="shared" si="1"/>
        <v>0.243025666623779</v>
      </c>
    </row>
    <row r="60" spans="1:7">
      <c r="A60" s="2">
        <v>2004</v>
      </c>
      <c r="B60" s="2">
        <v>3</v>
      </c>
      <c r="C60" s="8">
        <v>0.486666666666667</v>
      </c>
      <c r="D60" s="4">
        <f>'Table1-OUI Data'!I61*C60/('Table1-OUI Data'!E61+'Table1-OUI Data'!K61)</f>
        <v>0.0302410830640149</v>
      </c>
      <c r="E60" s="4">
        <f>('Table1-OUI Data'!E61+'Table1-OUI Data'!K61)/'Table1-OUI Data'!D61</f>
        <v>0.875952542509523</v>
      </c>
      <c r="F60" s="3">
        <f>'Table1-OUI Data'!G61/100</f>
        <v>0.054</v>
      </c>
      <c r="G60" s="9">
        <f t="shared" si="1"/>
        <v>0.221771948884535</v>
      </c>
    </row>
    <row r="61" spans="1:7">
      <c r="A61" s="2">
        <v>2004</v>
      </c>
      <c r="B61" s="2">
        <v>4</v>
      </c>
      <c r="C61" s="8">
        <v>0.514</v>
      </c>
      <c r="D61" s="4">
        <f>'Table1-OUI Data'!I62*C61/('Table1-OUI Data'!E62+'Table1-OUI Data'!K62)</f>
        <v>0.0299245505138605</v>
      </c>
      <c r="E61" s="4">
        <f>('Table1-OUI Data'!E62+'Table1-OUI Data'!K62)/'Table1-OUI Data'!D62</f>
        <v>0.889518992109883</v>
      </c>
      <c r="F61" s="3">
        <f>'Table1-OUI Data'!G62/100</f>
        <v>0.052</v>
      </c>
      <c r="G61" s="9">
        <f t="shared" si="1"/>
        <v>0.229736716493515</v>
      </c>
    </row>
    <row r="62" spans="1:7">
      <c r="A62" s="2">
        <v>2005</v>
      </c>
      <c r="B62" s="2">
        <v>1</v>
      </c>
      <c r="C62" s="8">
        <v>0.532</v>
      </c>
      <c r="D62" s="4">
        <f>'Table1-OUI Data'!I63*C62/('Table1-OUI Data'!E63+'Table1-OUI Data'!K63)</f>
        <v>0.0343474642437346</v>
      </c>
      <c r="E62" s="4">
        <f>('Table1-OUI Data'!E63+'Table1-OUI Data'!K63)/'Table1-OUI Data'!D63</f>
        <v>0.881314078544954</v>
      </c>
      <c r="F62" s="3">
        <f>'Table1-OUI Data'!G63/100</f>
        <v>0.057</v>
      </c>
      <c r="G62" s="9">
        <f t="shared" si="1"/>
        <v>0.225208650461557</v>
      </c>
    </row>
    <row r="63" spans="1:7">
      <c r="A63" s="2">
        <v>2005</v>
      </c>
      <c r="B63" s="2">
        <v>2</v>
      </c>
      <c r="C63" s="8">
        <v>0.458333333333333</v>
      </c>
      <c r="D63" s="4">
        <f>'Table1-OUI Data'!I64*C63/('Table1-OUI Data'!E64+'Table1-OUI Data'!K64)</f>
        <v>0.0262480043096011</v>
      </c>
      <c r="E63" s="4">
        <f>('Table1-OUI Data'!E64+'Table1-OUI Data'!K64)/'Table1-OUI Data'!D64</f>
        <v>0.887903963363752</v>
      </c>
      <c r="F63" s="3">
        <f>'Table1-OUI Data'!G64/100</f>
        <v>0.051</v>
      </c>
      <c r="G63" s="9">
        <f t="shared" si="1"/>
        <v>0.247058627353477</v>
      </c>
    </row>
    <row r="64" spans="1:7">
      <c r="A64" s="2">
        <v>2005</v>
      </c>
      <c r="B64" s="2">
        <v>3</v>
      </c>
      <c r="C64" s="8">
        <v>0.459</v>
      </c>
      <c r="D64" s="4">
        <f>'Table1-OUI Data'!I65*C64/('Table1-OUI Data'!E65+'Table1-OUI Data'!K65)</f>
        <v>0.0264658545036627</v>
      </c>
      <c r="E64" s="4">
        <f>('Table1-OUI Data'!E65+'Table1-OUI Data'!K65)/'Table1-OUI Data'!D65</f>
        <v>0.877672685886705</v>
      </c>
      <c r="F64" s="3">
        <f>'Table1-OUI Data'!G65/100</f>
        <v>0.051</v>
      </c>
      <c r="G64" s="9">
        <f t="shared" si="1"/>
        <v>0.22702732087915</v>
      </c>
    </row>
    <row r="65" spans="1:7">
      <c r="A65" s="2">
        <v>2005</v>
      </c>
      <c r="B65" s="2">
        <v>4</v>
      </c>
      <c r="C65" s="8">
        <v>0.477666666666667</v>
      </c>
      <c r="D65" s="4">
        <f>'Table1-OUI Data'!I66*C65/('Table1-OUI Data'!E66+'Table1-OUI Data'!K66)</f>
        <v>0.0260034399574313</v>
      </c>
      <c r="E65" s="4">
        <f>('Table1-OUI Data'!E66+'Table1-OUI Data'!K66)/'Table1-OUI Data'!D66</f>
        <v>0.890961301356242</v>
      </c>
      <c r="F65" s="3">
        <f>'Table1-OUI Data'!G66/100</f>
        <v>0.049</v>
      </c>
      <c r="G65" s="9">
        <f t="shared" si="1"/>
        <v>0.236906177504778</v>
      </c>
    </row>
    <row r="66" spans="1:7">
      <c r="A66" s="2">
        <v>2006</v>
      </c>
      <c r="B66" s="2">
        <v>1</v>
      </c>
      <c r="C66" s="8">
        <v>0.511666666666667</v>
      </c>
      <c r="D66" s="4">
        <f>'Table1-OUI Data'!I67*C66/('Table1-OUI Data'!E67+'Table1-OUI Data'!K67)</f>
        <v>0.0293626067645973</v>
      </c>
      <c r="E66" s="4">
        <f>('Table1-OUI Data'!E67+'Table1-OUI Data'!K67)/'Table1-OUI Data'!D67</f>
        <v>0.884599145731318</v>
      </c>
      <c r="F66" s="3">
        <f>'Table1-OUI Data'!G67/100</f>
        <v>0.051</v>
      </c>
      <c r="G66" s="9">
        <f t="shared" si="1"/>
        <v>0.216860293610359</v>
      </c>
    </row>
    <row r="67" spans="1:7">
      <c r="A67" s="2">
        <v>2006</v>
      </c>
      <c r="B67" s="2">
        <v>2</v>
      </c>
      <c r="C67" s="8">
        <v>0.472333333333333</v>
      </c>
      <c r="D67" s="4">
        <f>'Table1-OUI Data'!I68*C67/('Table1-OUI Data'!E68+'Table1-OUI Data'!K68)</f>
        <v>0.024766655971547</v>
      </c>
      <c r="E67" s="4">
        <f>('Table1-OUI Data'!E68+'Table1-OUI Data'!K68)/'Table1-OUI Data'!D68</f>
        <v>0.889731381017592</v>
      </c>
      <c r="F67" s="3">
        <f>'Table1-OUI Data'!G68/100</f>
        <v>0.047</v>
      </c>
      <c r="G67" s="9">
        <f t="shared" ref="G67:G98" si="2">(F67-E67*D67)/(1-E67)</f>
        <v>0.226395589331092</v>
      </c>
    </row>
    <row r="68" spans="1:7">
      <c r="A68" s="2">
        <v>2006</v>
      </c>
      <c r="B68" s="2">
        <v>3</v>
      </c>
      <c r="C68" s="8">
        <v>0.44</v>
      </c>
      <c r="D68" s="4">
        <f>'Table1-OUI Data'!I69*C68/('Table1-OUI Data'!E69+'Table1-OUI Data'!K69)</f>
        <v>0.0237756917602307</v>
      </c>
      <c r="E68" s="4">
        <f>('Table1-OUI Data'!E69+'Table1-OUI Data'!K69)/'Table1-OUI Data'!D69</f>
        <v>0.878064189630404</v>
      </c>
      <c r="F68" s="3">
        <f>'Table1-OUI Data'!G69/100</f>
        <v>0.047</v>
      </c>
      <c r="G68" s="9">
        <f t="shared" si="2"/>
        <v>0.214239085322587</v>
      </c>
    </row>
    <row r="69" spans="1:7">
      <c r="A69" s="2">
        <v>2006</v>
      </c>
      <c r="B69" s="2">
        <v>4</v>
      </c>
      <c r="C69" s="8">
        <v>0.471333333333333</v>
      </c>
      <c r="D69" s="4">
        <f>'Table1-OUI Data'!I70*C69/('Table1-OUI Data'!E70+'Table1-OUI Data'!K70)</f>
        <v>0.0226754582100578</v>
      </c>
      <c r="E69" s="4">
        <f>('Table1-OUI Data'!E70+'Table1-OUI Data'!K70)/'Table1-OUI Data'!D70</f>
        <v>0.889478088325523</v>
      </c>
      <c r="F69" s="3">
        <f>'Table1-OUI Data'!G70/100</f>
        <v>0.043</v>
      </c>
      <c r="G69" s="9">
        <f t="shared" si="2"/>
        <v>0.206571497303233</v>
      </c>
    </row>
    <row r="70" spans="1:7">
      <c r="A70" s="2">
        <v>2007</v>
      </c>
      <c r="B70" s="2">
        <v>1</v>
      </c>
      <c r="C70" s="8">
        <v>0.525666666666667</v>
      </c>
      <c r="D70" s="4">
        <f>'Table1-OUI Data'!I71*C70/('Table1-OUI Data'!E71+'Table1-OUI Data'!K71)</f>
        <v>0.0289857219656532</v>
      </c>
      <c r="E70" s="4">
        <f>('Table1-OUI Data'!E71+'Table1-OUI Data'!K71)/'Table1-OUI Data'!D71</f>
        <v>0.882787378551667</v>
      </c>
      <c r="F70" s="3">
        <f>'Table1-OUI Data'!G71/100</f>
        <v>0.049</v>
      </c>
      <c r="G70" s="9">
        <f t="shared" si="2"/>
        <v>0.199737623826061</v>
      </c>
    </row>
    <row r="71" spans="1:7">
      <c r="A71" s="2">
        <v>2007</v>
      </c>
      <c r="B71" s="2">
        <v>2</v>
      </c>
      <c r="C71" s="8">
        <v>0.471333333333333</v>
      </c>
      <c r="D71" s="4">
        <f>'Table1-OUI Data'!I72*C71/('Table1-OUI Data'!E72+'Table1-OUI Data'!K72)</f>
        <v>0.0237091350416956</v>
      </c>
      <c r="E71" s="4">
        <f>('Table1-OUI Data'!E72+'Table1-OUI Data'!K72)/'Table1-OUI Data'!D72</f>
        <v>0.892610978831664</v>
      </c>
      <c r="F71" s="3">
        <f>'Table1-OUI Data'!G72/100</f>
        <v>0.045</v>
      </c>
      <c r="G71" s="9">
        <f t="shared" si="2"/>
        <v>0.221968367937862</v>
      </c>
    </row>
    <row r="72" spans="1:7">
      <c r="A72" s="2">
        <v>2007</v>
      </c>
      <c r="B72" s="2">
        <v>3</v>
      </c>
      <c r="C72" s="8">
        <v>0.481666666666667</v>
      </c>
      <c r="D72" s="4">
        <f>'Table1-OUI Data'!I73*C72/('Table1-OUI Data'!E73+'Table1-OUI Data'!K73)</f>
        <v>0.0259039089209135</v>
      </c>
      <c r="E72" s="4">
        <f>('Table1-OUI Data'!E73+'Table1-OUI Data'!K73)/'Table1-OUI Data'!D73</f>
        <v>0.881275090383693</v>
      </c>
      <c r="F72" s="3">
        <f>'Table1-OUI Data'!G73/100</f>
        <v>0.047</v>
      </c>
      <c r="G72" s="9">
        <f t="shared" si="2"/>
        <v>0.2035927456382</v>
      </c>
    </row>
    <row r="73" spans="1:7">
      <c r="A73" s="2">
        <v>2007</v>
      </c>
      <c r="B73" s="2">
        <v>4</v>
      </c>
      <c r="C73" s="8">
        <v>0.504666666666667</v>
      </c>
      <c r="D73" s="4">
        <f>'Table1-OUI Data'!I74*C73/('Table1-OUI Data'!E74+'Table1-OUI Data'!K74)</f>
        <v>0.0261510399010709</v>
      </c>
      <c r="E73" s="4">
        <f>('Table1-OUI Data'!E74+'Table1-OUI Data'!K74)/'Table1-OUI Data'!D74</f>
        <v>0.893520928482458</v>
      </c>
      <c r="F73" s="3">
        <f>'Table1-OUI Data'!G74/100</f>
        <v>0.046</v>
      </c>
      <c r="G73" s="9">
        <f t="shared" si="2"/>
        <v>0.212562884182218</v>
      </c>
    </row>
    <row r="74" spans="1:7">
      <c r="A74" s="2">
        <v>2008</v>
      </c>
      <c r="B74" s="2">
        <v>1</v>
      </c>
      <c r="C74" s="8">
        <v>0.563333333333333</v>
      </c>
      <c r="D74" s="4">
        <f>'Table1-OUI Data'!I75*C74/('Table1-OUI Data'!E75+'Table1-OUI Data'!K75)</f>
        <v>0.0340630739746051</v>
      </c>
      <c r="E74" s="4">
        <f>('Table1-OUI Data'!E75+'Table1-OUI Data'!K75)/'Table1-OUI Data'!D75</f>
        <v>0.883335068213312</v>
      </c>
      <c r="F74" s="3">
        <f>'Table1-OUI Data'!G75/100</f>
        <v>0.053</v>
      </c>
      <c r="G74" s="9">
        <f t="shared" si="2"/>
        <v>0.196381996510981</v>
      </c>
    </row>
    <row r="75" spans="1:7">
      <c r="A75" s="2">
        <v>2008</v>
      </c>
      <c r="B75" s="2">
        <v>2</v>
      </c>
      <c r="C75" s="8">
        <v>0.499333333333333</v>
      </c>
      <c r="D75" s="4">
        <f>'Table1-OUI Data'!I76*C75/('Table1-OUI Data'!E76+'Table1-OUI Data'!K76)</f>
        <v>0.0299401598722012</v>
      </c>
      <c r="E75" s="4">
        <f>('Table1-OUI Data'!E76+'Table1-OUI Data'!K76)/'Table1-OUI Data'!D76</f>
        <v>0.885390893443099</v>
      </c>
      <c r="F75" s="3">
        <f>'Table1-OUI Data'!G76/100</f>
        <v>0.053</v>
      </c>
      <c r="G75" s="9">
        <f t="shared" si="2"/>
        <v>0.231144416851117</v>
      </c>
    </row>
    <row r="76" spans="1:7">
      <c r="A76" s="2">
        <v>2008</v>
      </c>
      <c r="B76" s="2">
        <v>3</v>
      </c>
      <c r="C76" s="8">
        <v>0.498333333333333</v>
      </c>
      <c r="D76" s="4">
        <f>'Table1-OUI Data'!I77*C76/('Table1-OUI Data'!E77+'Table1-OUI Data'!K77)</f>
        <v>0.0348272881952002</v>
      </c>
      <c r="E76" s="4">
        <f>('Table1-OUI Data'!E77+'Table1-OUI Data'!K77)/'Table1-OUI Data'!D77</f>
        <v>0.870378249985595</v>
      </c>
      <c r="F76" s="3">
        <f>'Table1-OUI Data'!G77/100</f>
        <v>0.061</v>
      </c>
      <c r="G76" s="9">
        <f t="shared" si="2"/>
        <v>0.236743338563994</v>
      </c>
    </row>
    <row r="77" spans="1:7">
      <c r="A77" s="2">
        <v>2008</v>
      </c>
      <c r="B77" s="2">
        <v>4</v>
      </c>
      <c r="C77" s="8">
        <v>0.580666666666667</v>
      </c>
      <c r="D77" s="4">
        <f>'Table1-OUI Data'!I78*C77/('Table1-OUI Data'!E78+'Table1-OUI Data'!K78)</f>
        <v>0.0437301275907519</v>
      </c>
      <c r="E77" s="4">
        <f>('Table1-OUI Data'!E78+'Table1-OUI Data'!K78)/'Table1-OUI Data'!D78</f>
        <v>0.879377505517769</v>
      </c>
      <c r="F77" s="3">
        <f>'Table1-OUI Data'!G78/100</f>
        <v>0.066</v>
      </c>
      <c r="G77" s="9">
        <f t="shared" si="2"/>
        <v>0.228354666362239</v>
      </c>
    </row>
    <row r="78" spans="1:7">
      <c r="A78" s="2">
        <v>2009</v>
      </c>
      <c r="B78" s="2">
        <v>1</v>
      </c>
      <c r="C78" s="8">
        <v>0.666</v>
      </c>
      <c r="D78" s="4">
        <f>'Table1-OUI Data'!I79*C78/('Table1-OUI Data'!E79+'Table1-OUI Data'!K79)</f>
        <v>0.0683624500684346</v>
      </c>
      <c r="E78" s="4">
        <f>('Table1-OUI Data'!E79+'Table1-OUI Data'!K79)/'Table1-OUI Data'!D79</f>
        <v>0.862361455908973</v>
      </c>
      <c r="F78" s="3">
        <f>'Table1-OUI Data'!G79/100</f>
        <v>0.089</v>
      </c>
      <c r="G78" s="9">
        <f t="shared" si="2"/>
        <v>0.218302643550261</v>
      </c>
    </row>
    <row r="79" spans="1:7">
      <c r="A79" s="2">
        <v>2009</v>
      </c>
      <c r="B79" s="2">
        <v>2</v>
      </c>
      <c r="C79" s="8">
        <v>0.634666666666667</v>
      </c>
      <c r="D79" s="4">
        <f>'Table1-OUI Data'!I80*C79/('Table1-OUI Data'!E80+'Table1-OUI Data'!K80)</f>
        <v>0.0675085010525042</v>
      </c>
      <c r="E79" s="4">
        <f>('Table1-OUI Data'!E80+'Table1-OUI Data'!K80)/'Table1-OUI Data'!D80</f>
        <v>0.861738175371888</v>
      </c>
      <c r="F79" s="3">
        <f>'Table1-OUI Data'!G80/100</f>
        <v>0.092</v>
      </c>
      <c r="G79" s="9">
        <f t="shared" si="2"/>
        <v>0.24464704969651</v>
      </c>
    </row>
    <row r="80" spans="1:7">
      <c r="A80" s="2">
        <v>2009</v>
      </c>
      <c r="B80" s="2">
        <v>3</v>
      </c>
      <c r="C80" s="8">
        <v>0.626666666666667</v>
      </c>
      <c r="D80" s="4">
        <f>'Table1-OUI Data'!I81*C80/('Table1-OUI Data'!E81+'Table1-OUI Data'!K81)</f>
        <v>0.0713055436747805</v>
      </c>
      <c r="E80" s="4">
        <f>('Table1-OUI Data'!E81+'Table1-OUI Data'!K81)/'Table1-OUI Data'!D81</f>
        <v>0.847394620531275</v>
      </c>
      <c r="F80" s="3">
        <f>'Table1-OUI Data'!G81/100</f>
        <v>0.096</v>
      </c>
      <c r="G80" s="9">
        <f t="shared" si="2"/>
        <v>0.233124585776638</v>
      </c>
    </row>
    <row r="81" spans="1:7">
      <c r="A81" s="2">
        <v>2009</v>
      </c>
      <c r="B81" s="2">
        <v>4</v>
      </c>
      <c r="C81" s="8">
        <v>0.643666666666667</v>
      </c>
      <c r="D81" s="4">
        <f>'Table1-OUI Data'!I82*C81/('Table1-OUI Data'!E82+'Table1-OUI Data'!K82)</f>
        <v>0.0716064226781797</v>
      </c>
      <c r="E81" s="4">
        <f>('Table1-OUI Data'!E82+'Table1-OUI Data'!K82)/'Table1-OUI Data'!D82</f>
        <v>0.858241315820183</v>
      </c>
      <c r="F81" s="3">
        <f>'Table1-OUI Data'!G82/100</f>
        <v>0.095</v>
      </c>
      <c r="G81" s="9">
        <f t="shared" si="2"/>
        <v>0.236630367822494</v>
      </c>
    </row>
    <row r="82" spans="1:7">
      <c r="A82" s="2">
        <v>2010</v>
      </c>
      <c r="B82" s="2">
        <v>1</v>
      </c>
      <c r="C82" s="8">
        <v>0.66</v>
      </c>
      <c r="D82" s="4">
        <f>'Table1-OUI Data'!I83*C82/('Table1-OUI Data'!E83+'Table1-OUI Data'!K83)</f>
        <v>0.0822667184069356</v>
      </c>
      <c r="E82" s="4">
        <f>('Table1-OUI Data'!E83+'Table1-OUI Data'!K83)/'Table1-OUI Data'!D83</f>
        <v>0.838115000453421</v>
      </c>
      <c r="F82" s="3">
        <f>'Table1-OUI Data'!G83/100</f>
        <v>0.104</v>
      </c>
      <c r="G82" s="9">
        <f t="shared" si="2"/>
        <v>0.21651807989155</v>
      </c>
    </row>
    <row r="83" spans="1:7">
      <c r="A83" s="2">
        <v>2010</v>
      </c>
      <c r="B83" s="2">
        <v>2</v>
      </c>
      <c r="C83" s="8">
        <v>0.608666666666667</v>
      </c>
      <c r="D83" s="4">
        <f>'Table1-OUI Data'!I84*C83/('Table1-OUI Data'!E84+'Table1-OUI Data'!K84)</f>
        <v>0.0689559688087707</v>
      </c>
      <c r="E83" s="4">
        <f>('Table1-OUI Data'!E84+'Table1-OUI Data'!K84)/'Table1-OUI Data'!D84</f>
        <v>0.842526269898767</v>
      </c>
      <c r="F83" s="3">
        <f>'Table1-OUI Data'!G84/100</f>
        <v>0.095</v>
      </c>
      <c r="G83" s="9">
        <f t="shared" si="2"/>
        <v>0.234342482321131</v>
      </c>
    </row>
    <row r="84" spans="1:7">
      <c r="A84" s="2">
        <v>2010</v>
      </c>
      <c r="B84" s="2">
        <v>3</v>
      </c>
      <c r="C84" s="8">
        <v>0.602333333333333</v>
      </c>
      <c r="D84" s="4">
        <f>'Table1-OUI Data'!I85*C84/('Table1-OUI Data'!E85+'Table1-OUI Data'!K85)</f>
        <v>0.0688708188842965</v>
      </c>
      <c r="E84" s="4">
        <f>('Table1-OUI Data'!E85+'Table1-OUI Data'!K85)/'Table1-OUI Data'!D85</f>
        <v>0.835664130434783</v>
      </c>
      <c r="F84" s="3">
        <f>'Table1-OUI Data'!G85/100</f>
        <v>0.096</v>
      </c>
      <c r="G84" s="9">
        <f t="shared" si="2"/>
        <v>0.233954565892658</v>
      </c>
    </row>
    <row r="85" spans="1:7">
      <c r="A85" s="2">
        <v>2010</v>
      </c>
      <c r="B85" s="2">
        <v>4</v>
      </c>
      <c r="C85" s="8">
        <v>0.622333333333333</v>
      </c>
      <c r="D85" s="4">
        <f>'Table1-OUI Data'!I86*C85/('Table1-OUI Data'!E86+'Table1-OUI Data'!K86)</f>
        <v>0.0672415079019627</v>
      </c>
      <c r="E85" s="4">
        <f>('Table1-OUI Data'!E86+'Table1-OUI Data'!K86)/'Table1-OUI Data'!D86</f>
        <v>0.852805052338831</v>
      </c>
      <c r="F85" s="3">
        <f>'Table1-OUI Data'!G86/100</f>
        <v>0.092</v>
      </c>
      <c r="G85" s="9">
        <f t="shared" si="2"/>
        <v>0.235443558933153</v>
      </c>
    </row>
    <row r="86" spans="1:7">
      <c r="A86" s="2">
        <v>2011</v>
      </c>
      <c r="B86" s="2">
        <v>1</v>
      </c>
      <c r="C86" s="8">
        <v>0.633333333333333</v>
      </c>
      <c r="D86" s="4">
        <f>'Table1-OUI Data'!I87*C86/('Table1-OUI Data'!E87+'Table1-OUI Data'!K87)</f>
        <v>0.071810275466572</v>
      </c>
      <c r="E86" s="4">
        <f>('Table1-OUI Data'!E87+'Table1-OUI Data'!K87)/'Table1-OUI Data'!D87</f>
        <v>0.842932060284627</v>
      </c>
      <c r="F86" s="3">
        <f>'Table1-OUI Data'!G87/100</f>
        <v>0.096</v>
      </c>
      <c r="G86" s="9">
        <f t="shared" si="2"/>
        <v>0.225818309042761</v>
      </c>
    </row>
    <row r="87" spans="1:7">
      <c r="A87" s="2">
        <v>2011</v>
      </c>
      <c r="B87" s="2">
        <v>2</v>
      </c>
      <c r="C87" s="8">
        <v>0.58</v>
      </c>
      <c r="D87" s="4">
        <f>'Table1-OUI Data'!I88*C87/('Table1-OUI Data'!E88+'Table1-OUI Data'!K88)</f>
        <v>0.061200214283777</v>
      </c>
      <c r="E87" s="4">
        <f>('Table1-OUI Data'!E88+'Table1-OUI Data'!K88)/'Table1-OUI Data'!D88</f>
        <v>0.849898102013561</v>
      </c>
      <c r="F87" s="3">
        <f>'Table1-OUI Data'!G88/100</f>
        <v>0.09</v>
      </c>
      <c r="G87" s="9">
        <f t="shared" si="2"/>
        <v>0.253068445815565</v>
      </c>
    </row>
    <row r="88" spans="1:7">
      <c r="A88" s="2">
        <v>2011</v>
      </c>
      <c r="B88" s="2">
        <v>3</v>
      </c>
      <c r="C88" s="8">
        <v>0.563666666666667</v>
      </c>
      <c r="D88" s="4">
        <f>'Table1-OUI Data'!I89*C88/('Table1-OUI Data'!E89+'Table1-OUI Data'!K89)</f>
        <v>0.061157946748305</v>
      </c>
      <c r="E88" s="4">
        <f>('Table1-OUI Data'!E89+'Table1-OUI Data'!K89)/'Table1-OUI Data'!D89</f>
        <v>0.840332671015391</v>
      </c>
      <c r="F88" s="3">
        <f>'Table1-OUI Data'!G89/100</f>
        <v>0.091</v>
      </c>
      <c r="G88" s="9">
        <f t="shared" si="2"/>
        <v>0.248059383889347</v>
      </c>
    </row>
    <row r="89" spans="1:7">
      <c r="A89" s="2">
        <v>2011</v>
      </c>
      <c r="B89" s="2">
        <v>4</v>
      </c>
      <c r="C89" s="8">
        <v>0.580333333333333</v>
      </c>
      <c r="D89" s="4">
        <f>'Table1-OUI Data'!I90*C89/('Table1-OUI Data'!E90+'Table1-OUI Data'!K90)</f>
        <v>0.0569392401499457</v>
      </c>
      <c r="E89" s="4">
        <f>('Table1-OUI Data'!E90+'Table1-OUI Data'!K90)/'Table1-OUI Data'!D90</f>
        <v>0.854668663686104</v>
      </c>
      <c r="F89" s="3">
        <f>'Table1-OUI Data'!G90/100</f>
        <v>0.084</v>
      </c>
      <c r="G89" s="9">
        <f t="shared" si="2"/>
        <v>0.243139687599261</v>
      </c>
    </row>
    <row r="90" spans="1:7">
      <c r="A90" s="2">
        <v>2012</v>
      </c>
      <c r="B90" s="2">
        <v>1</v>
      </c>
      <c r="C90" s="8">
        <v>0.589666666666667</v>
      </c>
      <c r="D90" s="4">
        <f>'Table1-OUI Data'!I91*C90/('Table1-OUI Data'!E91+'Table1-OUI Data'!K91)</f>
        <v>0.0602882407148144</v>
      </c>
      <c r="E90" s="4">
        <f>('Table1-OUI Data'!E91+'Table1-OUI Data'!K91)/'Table1-OUI Data'!D91</f>
        <v>0.849415963409135</v>
      </c>
      <c r="F90" s="3">
        <f>'Table1-OUI Data'!G91/100</f>
        <v>0.087</v>
      </c>
      <c r="G90" s="9">
        <f t="shared" si="2"/>
        <v>0.237675963144922</v>
      </c>
    </row>
    <row r="91" spans="1:7">
      <c r="A91" s="2">
        <v>2012</v>
      </c>
      <c r="B91" s="2">
        <v>2</v>
      </c>
      <c r="C91" s="8">
        <v>0.537666666666667</v>
      </c>
      <c r="D91" s="4">
        <f>'Table1-OUI Data'!I92*C91/('Table1-OUI Data'!E92+'Table1-OUI Data'!K92)</f>
        <v>0.0507830337518365</v>
      </c>
      <c r="E91" s="4">
        <f>('Table1-OUI Data'!E92+'Table1-OUI Data'!K92)/'Table1-OUI Data'!D92</f>
        <v>0.85521218827352</v>
      </c>
      <c r="F91" s="3">
        <f>'Table1-OUI Data'!G92/100</f>
        <v>0.081</v>
      </c>
      <c r="G91" s="9">
        <f t="shared" si="2"/>
        <v>0.259481306678611</v>
      </c>
    </row>
    <row r="92" spans="1:7">
      <c r="A92" s="2">
        <v>2012</v>
      </c>
      <c r="B92" s="2">
        <v>3</v>
      </c>
      <c r="C92" s="8">
        <v>0.532</v>
      </c>
      <c r="D92" s="4">
        <f>'Table1-OUI Data'!I93*C92/('Table1-OUI Data'!E93+'Table1-OUI Data'!K93)</f>
        <v>0.0512111020358037</v>
      </c>
      <c r="E92" s="4">
        <f>('Table1-OUI Data'!E93+'Table1-OUI Data'!K93)/'Table1-OUI Data'!D93</f>
        <v>0.847100603031733</v>
      </c>
      <c r="F92" s="3">
        <f>'Table1-OUI Data'!G93/100</f>
        <v>0.082</v>
      </c>
      <c r="G92" s="9">
        <f t="shared" si="2"/>
        <v>0.25257813535763</v>
      </c>
    </row>
    <row r="93" spans="1:7">
      <c r="A93" s="2">
        <v>2012</v>
      </c>
      <c r="B93" s="2">
        <v>4</v>
      </c>
      <c r="C93" s="8">
        <v>0.537</v>
      </c>
      <c r="D93" s="4">
        <f>'Table1-OUI Data'!I94*C93/('Table1-OUI Data'!E94+'Table1-OUI Data'!K94)</f>
        <v>0.0471015238776709</v>
      </c>
      <c r="E93" s="4">
        <f>('Table1-OUI Data'!E94+'Table1-OUI Data'!K94)/'Table1-OUI Data'!D94</f>
        <v>0.862213523859432</v>
      </c>
      <c r="F93" s="3">
        <f>'Table1-OUI Data'!G94/100</f>
        <v>0.076</v>
      </c>
      <c r="G93" s="9">
        <f t="shared" si="2"/>
        <v>0.256835286811322</v>
      </c>
    </row>
    <row r="94" spans="1:7">
      <c r="A94" s="2">
        <v>2013</v>
      </c>
      <c r="B94" s="2">
        <v>1</v>
      </c>
      <c r="C94" s="8">
        <v>0.569</v>
      </c>
      <c r="D94" s="4">
        <f>'Table1-OUI Data'!I95*C94/('Table1-OUI Data'!E95+'Table1-OUI Data'!K95)</f>
        <v>0.0540868961900328</v>
      </c>
      <c r="E94" s="4">
        <f>('Table1-OUI Data'!E95+'Table1-OUI Data'!K95)/'Table1-OUI Data'!D95</f>
        <v>0.854758791067762</v>
      </c>
      <c r="F94" s="3">
        <f>'Table1-OUI Data'!G95/100</f>
        <v>0.081</v>
      </c>
      <c r="G94" s="9">
        <f t="shared" si="2"/>
        <v>0.239386261348329</v>
      </c>
    </row>
    <row r="95" spans="1:7">
      <c r="A95" s="2">
        <v>2013</v>
      </c>
      <c r="B95" s="2">
        <v>2</v>
      </c>
      <c r="C95" s="8">
        <v>0.515333333333333</v>
      </c>
      <c r="D95" s="4">
        <f>'Table1-OUI Data'!I96*C95/('Table1-OUI Data'!E96+'Table1-OUI Data'!K96)</f>
        <v>0.0444056026729372</v>
      </c>
      <c r="E95" s="4">
        <f>('Table1-OUI Data'!E96+'Table1-OUI Data'!K96)/'Table1-OUI Data'!D96</f>
        <v>0.863084856979041</v>
      </c>
      <c r="F95" s="3">
        <f>'Table1-OUI Data'!G96/100</f>
        <v>0.074</v>
      </c>
      <c r="G95" s="9">
        <f t="shared" si="2"/>
        <v>0.260556984281124</v>
      </c>
    </row>
    <row r="96" spans="1:7">
      <c r="A96" s="2">
        <v>2013</v>
      </c>
      <c r="B96" s="2">
        <v>3</v>
      </c>
      <c r="C96" s="8">
        <v>0.501666666666667</v>
      </c>
      <c r="D96" s="4">
        <f>'Table1-OUI Data'!I97*C96/('Table1-OUI Data'!E97+'Table1-OUI Data'!K97)</f>
        <v>0.0432841744699862</v>
      </c>
      <c r="E96" s="4">
        <f>('Table1-OUI Data'!E97+'Table1-OUI Data'!K97)/'Table1-OUI Data'!D97</f>
        <v>0.8578063876568</v>
      </c>
      <c r="F96" s="3">
        <f>'Table1-OUI Data'!G97/100</f>
        <v>0.074</v>
      </c>
      <c r="G96" s="9">
        <f t="shared" si="2"/>
        <v>0.259298276818535</v>
      </c>
    </row>
    <row r="97" spans="1:7">
      <c r="A97" s="2">
        <v>2013</v>
      </c>
      <c r="B97" s="2">
        <v>4</v>
      </c>
      <c r="C97" s="8">
        <v>0.532333333333333</v>
      </c>
      <c r="D97" s="4">
        <f>'Table1-OUI Data'!I98*C97/('Table1-OUI Data'!E98+'Table1-OUI Data'!K98)</f>
        <v>0.0408494286314836</v>
      </c>
      <c r="E97" s="4">
        <f>('Table1-OUI Data'!E98+'Table1-OUI Data'!K98)/'Table1-OUI Data'!D98</f>
        <v>0.87855629444847</v>
      </c>
      <c r="F97" s="3">
        <f>'Table1-OUI Data'!G98/100</f>
        <v>0.067</v>
      </c>
      <c r="G97" s="9">
        <f t="shared" si="2"/>
        <v>0.256180237665637</v>
      </c>
    </row>
    <row r="98" spans="1:7">
      <c r="A98" s="2">
        <v>2014</v>
      </c>
      <c r="B98" s="2">
        <v>1</v>
      </c>
      <c r="C98" s="8">
        <v>0.556</v>
      </c>
      <c r="D98" s="4">
        <f>'Table1-OUI Data'!I99*C98/('Table1-OUI Data'!E99+'Table1-OUI Data'!K99)</f>
        <v>0.0449218763575006</v>
      </c>
      <c r="E98" s="4">
        <f>('Table1-OUI Data'!E99+'Table1-OUI Data'!K99)/'Table1-OUI Data'!D99</f>
        <v>0.866037947286186</v>
      </c>
      <c r="F98" s="3">
        <f>'Table1-OUI Data'!G99/100</f>
        <v>0.07</v>
      </c>
      <c r="G98" s="9">
        <f t="shared" si="2"/>
        <v>0.23212506662269</v>
      </c>
    </row>
    <row r="99" spans="1:7">
      <c r="A99" s="2">
        <v>2014</v>
      </c>
      <c r="B99" s="2">
        <v>2</v>
      </c>
      <c r="C99" s="8">
        <v>0.503</v>
      </c>
      <c r="D99" s="4">
        <f>'Table1-OUI Data'!I100*C99/('Table1-OUI Data'!E100+'Table1-OUI Data'!K100)</f>
        <v>0.0351257952067882</v>
      </c>
      <c r="E99" s="4">
        <f>('Table1-OUI Data'!E100+'Table1-OUI Data'!K100)/'Table1-OUI Data'!D100</f>
        <v>0.877413466988492</v>
      </c>
      <c r="F99" s="3">
        <f>'Table1-OUI Data'!G100/100</f>
        <v>0.061</v>
      </c>
      <c r="G99" s="9">
        <f t="shared" ref="G99:G132" si="3">(F99-E99*D99)/(1-E99)</f>
        <v>0.246194696150278</v>
      </c>
    </row>
    <row r="100" spans="1:7">
      <c r="A100" s="2">
        <v>2014</v>
      </c>
      <c r="B100" s="2">
        <v>3</v>
      </c>
      <c r="C100" s="8">
        <v>0.474333333333333</v>
      </c>
      <c r="D100" s="4">
        <f>'Table1-OUI Data'!I101*C100/('Table1-OUI Data'!E101+'Table1-OUI Data'!K101)</f>
        <v>0.0340385728212483</v>
      </c>
      <c r="E100" s="4">
        <f>('Table1-OUI Data'!E101+'Table1-OUI Data'!K101)/'Table1-OUI Data'!D101</f>
        <v>0.870263671627412</v>
      </c>
      <c r="F100" s="3">
        <f>'Table1-OUI Data'!G101/100</f>
        <v>0.062</v>
      </c>
      <c r="G100" s="9">
        <f t="shared" si="3"/>
        <v>0.249563611409127</v>
      </c>
    </row>
    <row r="101" spans="1:7">
      <c r="A101" s="2">
        <v>2014</v>
      </c>
      <c r="B101" s="2">
        <v>4</v>
      </c>
      <c r="C101" s="8">
        <v>0.489333333333333</v>
      </c>
      <c r="D101" s="4">
        <f>'Table1-OUI Data'!I102*C101/('Table1-OUI Data'!E102+'Table1-OUI Data'!K102)</f>
        <v>0.0305130326673483</v>
      </c>
      <c r="E101" s="4">
        <f>('Table1-OUI Data'!E102+'Table1-OUI Data'!K102)/'Table1-OUI Data'!D102</f>
        <v>0.886581699138671</v>
      </c>
      <c r="F101" s="3">
        <f>'Table1-OUI Data'!G102/100</f>
        <v>0.055</v>
      </c>
      <c r="G101" s="9">
        <f t="shared" si="3"/>
        <v>0.24641264628077</v>
      </c>
    </row>
    <row r="102" spans="1:7">
      <c r="A102" s="2">
        <v>2015</v>
      </c>
      <c r="B102" s="2">
        <v>1</v>
      </c>
      <c r="C102" s="8">
        <v>0.518333333333333</v>
      </c>
      <c r="D102" s="4">
        <f>'Table1-OUI Data'!I103*C102/('Table1-OUI Data'!E103+'Table1-OUI Data'!K103)</f>
        <v>0.0346470416154581</v>
      </c>
      <c r="E102" s="4">
        <f>('Table1-OUI Data'!E103+'Table1-OUI Data'!K103)/'Table1-OUI Data'!D103</f>
        <v>0.876677767306811</v>
      </c>
      <c r="F102" s="3">
        <f>'Table1-OUI Data'!G103/100</f>
        <v>0.059</v>
      </c>
      <c r="G102" s="9">
        <f t="shared" si="3"/>
        <v>0.232121234651917</v>
      </c>
    </row>
    <row r="103" spans="1:7">
      <c r="A103" s="2">
        <v>2015</v>
      </c>
      <c r="B103" s="2">
        <v>2</v>
      </c>
      <c r="C103" s="8">
        <v>0.476333333333333</v>
      </c>
      <c r="D103" s="4">
        <f>'Table1-OUI Data'!I104*C103/('Table1-OUI Data'!E104+'Table1-OUI Data'!K104)</f>
        <v>0.0287797621298017</v>
      </c>
      <c r="E103" s="4">
        <f>('Table1-OUI Data'!E104+'Table1-OUI Data'!K104)/'Table1-OUI Data'!D104</f>
        <v>0.885286071536829</v>
      </c>
      <c r="F103" s="3">
        <f>'Table1-OUI Data'!G104/100</f>
        <v>0.053</v>
      </c>
      <c r="G103" s="9">
        <f t="shared" si="3"/>
        <v>0.239915743563601</v>
      </c>
    </row>
    <row r="104" spans="1:7">
      <c r="A104" s="2">
        <v>2015</v>
      </c>
      <c r="B104" s="2">
        <v>3</v>
      </c>
      <c r="C104" s="8">
        <v>0.475</v>
      </c>
      <c r="D104" s="4">
        <f>'Table1-OUI Data'!I105*C104/('Table1-OUI Data'!E105+'Table1-OUI Data'!K105)</f>
        <v>0.0282263399804723</v>
      </c>
      <c r="E104" s="4">
        <f>('Table1-OUI Data'!E105+'Table1-OUI Data'!K105)/'Table1-OUI Data'!D105</f>
        <v>0.883644339729904</v>
      </c>
      <c r="F104" s="3">
        <f>'Table1-OUI Data'!G105/100</f>
        <v>0.053</v>
      </c>
      <c r="G104" s="9">
        <f t="shared" si="3"/>
        <v>0.241139574815982</v>
      </c>
    </row>
    <row r="105" spans="1:7">
      <c r="A105" s="2">
        <v>2015</v>
      </c>
      <c r="B105" s="2">
        <v>4</v>
      </c>
      <c r="C105" s="8">
        <v>0.485666666666667</v>
      </c>
      <c r="D105" s="4">
        <f>'Table1-OUI Data'!I106*C105/('Table1-OUI Data'!E106+'Table1-OUI Data'!K106)</f>
        <v>0.0263112712286262</v>
      </c>
      <c r="E105" s="4">
        <f>('Table1-OUI Data'!E106+'Table1-OUI Data'!K106)/'Table1-OUI Data'!D106</f>
        <v>0.89800896736209</v>
      </c>
      <c r="F105" s="3">
        <f>'Table1-OUI Data'!G106/100</f>
        <v>0.049</v>
      </c>
      <c r="G105" s="9">
        <f t="shared" si="3"/>
        <v>0.248769346066673</v>
      </c>
    </row>
    <row r="106" spans="1:7">
      <c r="A106" s="2">
        <v>2016</v>
      </c>
      <c r="B106" s="2">
        <v>1</v>
      </c>
      <c r="C106" s="8">
        <v>0.514333333333333</v>
      </c>
      <c r="D106" s="4">
        <f>'Table1-OUI Data'!I107*C106/('Table1-OUI Data'!E107+'Table1-OUI Data'!K107)</f>
        <v>0.0305276169502429</v>
      </c>
      <c r="E106" s="4">
        <f>('Table1-OUI Data'!E107+'Table1-OUI Data'!K107)/'Table1-OUI Data'!D107</f>
        <v>0.882746025249504</v>
      </c>
      <c r="F106" s="3">
        <f>'Table1-OUI Data'!G107/100</f>
        <v>0.052</v>
      </c>
      <c r="G106" s="9">
        <f t="shared" si="3"/>
        <v>0.213654739893819</v>
      </c>
    </row>
    <row r="107" spans="1:7">
      <c r="A107" s="2">
        <v>2016</v>
      </c>
      <c r="B107" s="2">
        <v>2</v>
      </c>
      <c r="C107" s="8">
        <v>0.471</v>
      </c>
      <c r="D107" s="4">
        <f>'Table1-OUI Data'!I108*C107/('Table1-OUI Data'!E108+'Table1-OUI Data'!K108)</f>
        <v>0.0254177465262829</v>
      </c>
      <c r="E107" s="4">
        <f>('Table1-OUI Data'!E108+'Table1-OUI Data'!K108)/'Table1-OUI Data'!D108</f>
        <v>0.891775979370474</v>
      </c>
      <c r="F107" s="3">
        <f>'Table1-OUI Data'!G108/100</f>
        <v>0.048</v>
      </c>
      <c r="G107" s="9">
        <f t="shared" si="3"/>
        <v>0.234079865549018</v>
      </c>
    </row>
    <row r="108" spans="1:7">
      <c r="A108" s="2">
        <v>2016</v>
      </c>
      <c r="B108" s="2">
        <v>3</v>
      </c>
      <c r="C108" s="8">
        <v>0.468</v>
      </c>
      <c r="D108" s="4">
        <f>'Table1-OUI Data'!I109*C108/('Table1-OUI Data'!E109+'Table1-OUI Data'!K109)</f>
        <v>0.0266297871100714</v>
      </c>
      <c r="E108" s="4">
        <f>('Table1-OUI Data'!E109+'Table1-OUI Data'!K109)/'Table1-OUI Data'!D109</f>
        <v>0.884672510287553</v>
      </c>
      <c r="F108" s="3">
        <f>'Table1-OUI Data'!G109/100</f>
        <v>0.05</v>
      </c>
      <c r="G108" s="9">
        <f t="shared" si="3"/>
        <v>0.22927195809809</v>
      </c>
    </row>
    <row r="109" spans="1:7">
      <c r="A109" s="2">
        <v>2016</v>
      </c>
      <c r="B109" s="2">
        <v>4</v>
      </c>
      <c r="C109" s="8">
        <v>0.475</v>
      </c>
      <c r="D109" s="4">
        <f>'Table1-OUI Data'!I110*C109/('Table1-OUI Data'!E110+'Table1-OUI Data'!K110)</f>
        <v>0.0242343650800553</v>
      </c>
      <c r="E109" s="4">
        <f>('Table1-OUI Data'!E110+'Table1-OUI Data'!K110)/'Table1-OUI Data'!D110</f>
        <v>0.898591113417402</v>
      </c>
      <c r="F109" s="3">
        <f>'Table1-OUI Data'!G110/100</f>
        <v>0.046</v>
      </c>
      <c r="G109" s="9">
        <f t="shared" si="3"/>
        <v>0.238866786886763</v>
      </c>
    </row>
    <row r="110" spans="1:7">
      <c r="A110" s="2">
        <v>2017</v>
      </c>
      <c r="B110" s="2">
        <v>1</v>
      </c>
      <c r="C110" s="8">
        <v>0.529333333333333</v>
      </c>
      <c r="D110" s="4">
        <f>'Table1-OUI Data'!I111*C110/('Table1-OUI Data'!E111+'Table1-OUI Data'!K111)</f>
        <v>0.0295210978763531</v>
      </c>
      <c r="E110" s="4">
        <f>('Table1-OUI Data'!E111+'Table1-OUI Data'!K111)/'Table1-OUI Data'!D111</f>
        <v>0.882733583151563</v>
      </c>
      <c r="F110" s="3">
        <f>'Table1-OUI Data'!G111/100</f>
        <v>0.049</v>
      </c>
      <c r="G110" s="9">
        <f t="shared" si="3"/>
        <v>0.195629201518871</v>
      </c>
    </row>
    <row r="111" spans="1:7">
      <c r="A111" s="2">
        <v>2017</v>
      </c>
      <c r="B111" s="2">
        <v>2</v>
      </c>
      <c r="C111" s="8">
        <v>0.478666666666667</v>
      </c>
      <c r="D111" s="4">
        <f>'Table1-OUI Data'!I112*C111/('Table1-OUI Data'!E112+'Table1-OUI Data'!K112)</f>
        <v>0.0229666509411212</v>
      </c>
      <c r="E111" s="4">
        <f>('Table1-OUI Data'!E112+'Table1-OUI Data'!K112)/'Table1-OUI Data'!D112</f>
        <v>0.891289728861713</v>
      </c>
      <c r="F111" s="3">
        <f>'Table1-OUI Data'!G112/100</f>
        <v>0.043</v>
      </c>
      <c r="G111" s="9">
        <f t="shared" si="3"/>
        <v>0.207248677368918</v>
      </c>
    </row>
    <row r="112" spans="1:7">
      <c r="A112" s="2">
        <v>2017</v>
      </c>
      <c r="B112" s="2">
        <v>3</v>
      </c>
      <c r="C112" s="8">
        <v>0.471333333333333</v>
      </c>
      <c r="D112" s="4">
        <f>'Table1-OUI Data'!I113*C112/('Table1-OUI Data'!E113+'Table1-OUI Data'!K113)</f>
        <v>0.0237224598961366</v>
      </c>
      <c r="E112" s="4">
        <f>('Table1-OUI Data'!E113+'Table1-OUI Data'!K113)/'Table1-OUI Data'!D113</f>
        <v>0.882799022046944</v>
      </c>
      <c r="F112" s="3">
        <f>'Table1-OUI Data'!G113/100</f>
        <v>0.044</v>
      </c>
      <c r="G112" s="9">
        <f t="shared" si="3"/>
        <v>0.196737569991766</v>
      </c>
    </row>
    <row r="113" spans="1:7">
      <c r="A113" s="2">
        <v>2017</v>
      </c>
      <c r="B113" s="2">
        <v>4</v>
      </c>
      <c r="C113" s="8">
        <v>0.481666666666667</v>
      </c>
      <c r="D113" s="4">
        <f>'Table1-OUI Data'!I114*C113/('Table1-OUI Data'!E114+'Table1-OUI Data'!K114)</f>
        <v>0.0211600503828867</v>
      </c>
      <c r="E113" s="4">
        <f>('Table1-OUI Data'!E114+'Table1-OUI Data'!K114)/'Table1-OUI Data'!D114</f>
        <v>0.90054016123847</v>
      </c>
      <c r="F113" s="3">
        <f>'Table1-OUI Data'!G114/100</f>
        <v>0.04</v>
      </c>
      <c r="G113" s="9">
        <f t="shared" si="3"/>
        <v>0.21058273447033</v>
      </c>
    </row>
    <row r="114" spans="1:7">
      <c r="A114" s="2">
        <v>2018</v>
      </c>
      <c r="B114" s="2">
        <v>1</v>
      </c>
      <c r="C114" s="8">
        <v>0.523666666666667</v>
      </c>
      <c r="D114" s="4">
        <f>'Table1-OUI Data'!I115*C114/('Table1-OUI Data'!E115+'Table1-OUI Data'!K115)</f>
        <v>0.0258019903874658</v>
      </c>
      <c r="E114" s="4">
        <f>('Table1-OUI Data'!E115+'Table1-OUI Data'!K115)/'Table1-OUI Data'!D115</f>
        <v>0.888207519242155</v>
      </c>
      <c r="F114" s="3">
        <f>'Table1-OUI Data'!G115/100</f>
        <v>0.044</v>
      </c>
      <c r="G114" s="9">
        <f t="shared" si="3"/>
        <v>0.188585833175185</v>
      </c>
    </row>
    <row r="115" spans="1:7">
      <c r="A115" s="2">
        <v>2018</v>
      </c>
      <c r="B115" s="2">
        <v>2</v>
      </c>
      <c r="C115" s="8">
        <v>0.45</v>
      </c>
      <c r="D115" s="4">
        <f>'Table1-OUI Data'!I116*C115/('Table1-OUI Data'!E116+'Table1-OUI Data'!K116)</f>
        <v>0.0192781983854889</v>
      </c>
      <c r="E115" s="4">
        <f>('Table1-OUI Data'!E116+'Table1-OUI Data'!K116)/'Table1-OUI Data'!D116</f>
        <v>0.896415917544472</v>
      </c>
      <c r="F115" s="3">
        <f>'Table1-OUI Data'!G116/100</f>
        <v>0.038</v>
      </c>
      <c r="G115" s="9">
        <f t="shared" si="3"/>
        <v>0.200018338865557</v>
      </c>
    </row>
    <row r="116" spans="1:7">
      <c r="A116" s="2">
        <v>2018</v>
      </c>
      <c r="B116" s="2">
        <v>3</v>
      </c>
      <c r="C116" s="8">
        <v>0.450666666666667</v>
      </c>
      <c r="D116" s="4">
        <f>'Table1-OUI Data'!I117*C116/('Table1-OUI Data'!E117+'Table1-OUI Data'!K117)</f>
        <v>0.0197217986585964</v>
      </c>
      <c r="E116" s="4">
        <f>('Table1-OUI Data'!E117+'Table1-OUI Data'!K117)/'Table1-OUI Data'!D117</f>
        <v>0.892035411215182</v>
      </c>
      <c r="F116" s="3">
        <f>'Table1-OUI Data'!G117/100</f>
        <v>0.039</v>
      </c>
      <c r="G116" s="9">
        <f t="shared" si="3"/>
        <v>0.198282209608029</v>
      </c>
    </row>
    <row r="117" spans="1:7">
      <c r="A117" s="2">
        <v>2018</v>
      </c>
      <c r="B117" s="2">
        <v>4</v>
      </c>
      <c r="C117" s="8">
        <v>0.461333333333333</v>
      </c>
      <c r="D117" s="4">
        <f>'Table1-OUI Data'!I118*C117/('Table1-OUI Data'!E118+'Table1-OUI Data'!K118)</f>
        <v>0.0184130693391183</v>
      </c>
      <c r="E117" s="4">
        <f>('Table1-OUI Data'!E118+'Table1-OUI Data'!K118)/'Table1-OUI Data'!D118</f>
        <v>0.903331764331911</v>
      </c>
      <c r="F117" s="3">
        <f>'Table1-OUI Data'!G118/100</f>
        <v>0.036</v>
      </c>
      <c r="G117" s="9">
        <f t="shared" si="3"/>
        <v>0.200343881868547</v>
      </c>
    </row>
    <row r="118" spans="1:7">
      <c r="A118" s="2">
        <v>2019</v>
      </c>
      <c r="B118" s="2">
        <v>1</v>
      </c>
      <c r="C118" s="8">
        <v>0.504666666666667</v>
      </c>
      <c r="D118" s="4">
        <f>'Table1-OUI Data'!I119*C118/('Table1-OUI Data'!E119+'Table1-OUI Data'!K119)</f>
        <v>0.0235788489686586</v>
      </c>
      <c r="E118" s="4">
        <f>('Table1-OUI Data'!E119+'Table1-OUI Data'!K119)/'Table1-OUI Data'!D119</f>
        <v>0.890719068644192</v>
      </c>
      <c r="F118" s="3">
        <f>'Table1-OUI Data'!G119/100</f>
        <v>0.042</v>
      </c>
      <c r="G118" s="9">
        <f t="shared" si="3"/>
        <v>0.192145778283746</v>
      </c>
    </row>
    <row r="119" spans="1:7">
      <c r="A119" s="2">
        <v>2019</v>
      </c>
      <c r="B119" s="2">
        <v>2</v>
      </c>
      <c r="C119" s="8">
        <v>0.435333333333333</v>
      </c>
      <c r="D119" s="4">
        <f>'Table1-OUI Data'!I120*C119/('Table1-OUI Data'!E120+'Table1-OUI Data'!K120)</f>
        <v>0.0171045095186961</v>
      </c>
      <c r="E119" s="4">
        <f>('Table1-OUI Data'!E120+'Table1-OUI Data'!K120)/'Table1-OUI Data'!D120</f>
        <v>0.901450389110977</v>
      </c>
      <c r="F119" s="3">
        <f>'Table1-OUI Data'!G120/100</f>
        <v>0.035</v>
      </c>
      <c r="G119" s="9">
        <f t="shared" si="3"/>
        <v>0.198693156291295</v>
      </c>
    </row>
    <row r="120" spans="1:7">
      <c r="A120" s="2">
        <v>2019</v>
      </c>
      <c r="B120" s="2">
        <v>3</v>
      </c>
      <c r="C120" s="8">
        <v>0.443333333333333</v>
      </c>
      <c r="D120" s="4">
        <f>'Table1-OUI Data'!I121*C120/('Table1-OUI Data'!E121+'Table1-OUI Data'!K121)</f>
        <v>0.0185161138261317</v>
      </c>
      <c r="E120" s="4">
        <f>('Table1-OUI Data'!E121+'Table1-OUI Data'!K121)/'Table1-OUI Data'!D121</f>
        <v>0.891572542675713</v>
      </c>
      <c r="F120" s="3">
        <f>'Table1-OUI Data'!G121/100</f>
        <v>0.037</v>
      </c>
      <c r="G120" s="9">
        <f t="shared" si="3"/>
        <v>0.188988488905318</v>
      </c>
    </row>
    <row r="121" spans="1:7">
      <c r="A121" s="2">
        <v>2019</v>
      </c>
      <c r="B121" s="2">
        <v>4</v>
      </c>
      <c r="C121" s="8">
        <v>0.465333333333333</v>
      </c>
      <c r="D121" s="4">
        <f>'Table1-OUI Data'!I122*C121/('Table1-OUI Data'!E122+'Table1-OUI Data'!K122)</f>
        <v>0.0173810353456847</v>
      </c>
      <c r="E121" s="4">
        <f>('Table1-OUI Data'!E122+'Table1-OUI Data'!K122)/'Table1-OUI Data'!D122</f>
        <v>0.903223915379693</v>
      </c>
      <c r="F121" s="3">
        <f>'Table1-OUI Data'!G122/100</f>
        <v>0.034</v>
      </c>
      <c r="G121" s="9">
        <f t="shared" si="3"/>
        <v>0.189106981063766</v>
      </c>
    </row>
    <row r="122" spans="1:7">
      <c r="A122" s="2">
        <v>2020</v>
      </c>
      <c r="B122" s="2">
        <v>1</v>
      </c>
      <c r="C122" s="8">
        <v>0.537333333333333</v>
      </c>
      <c r="D122" s="4">
        <f>'Table1-OUI Data'!I123*C122/('Table1-OUI Data'!E123+'Table1-OUI Data'!K123)</f>
        <v>0.0254733217347586</v>
      </c>
      <c r="E122" s="4">
        <f>('Table1-OUI Data'!E123+'Table1-OUI Data'!K123)/'Table1-OUI Data'!D123</f>
        <v>0.897699921111718</v>
      </c>
      <c r="F122" s="3">
        <f>'Table1-OUI Data'!G123/100</f>
        <v>0.043</v>
      </c>
      <c r="G122" s="9">
        <f t="shared" si="3"/>
        <v>0.196799467869813</v>
      </c>
    </row>
    <row r="123" spans="1:7">
      <c r="A123" s="2">
        <v>2020</v>
      </c>
      <c r="B123" s="2">
        <v>2</v>
      </c>
      <c r="C123" s="8">
        <v>0.853666666666667</v>
      </c>
      <c r="D123" s="4">
        <f>'Table1-OUI Data'!I124*C123/('Table1-OUI Data'!E124+'Table1-OUI Data'!K124)</f>
        <v>0.118115437307373</v>
      </c>
      <c r="E123" s="4">
        <f>('Table1-OUI Data'!E124+'Table1-OUI Data'!K124)/'Table1-OUI Data'!D124</f>
        <v>0.921475223456844</v>
      </c>
      <c r="F123" s="3">
        <f>'Table1-OUI Data'!G124/100</f>
        <v>0.128</v>
      </c>
      <c r="G123" s="9">
        <f t="shared" ref="G123:G130" si="4">(F123-E123*D123)/(1-E123)</f>
        <v>0.243993703095173</v>
      </c>
    </row>
    <row r="124" spans="1:7">
      <c r="A124" s="2">
        <v>2020</v>
      </c>
      <c r="B124" s="2">
        <v>3</v>
      </c>
      <c r="C124" s="8">
        <v>0.746666666666667</v>
      </c>
      <c r="D124" s="4">
        <f>'Table1-OUI Data'!I125*C124/('Table1-OUI Data'!E125+'Table1-OUI Data'!K125)</f>
        <v>0.0729948301660261</v>
      </c>
      <c r="E124" s="4">
        <f>('Table1-OUI Data'!E125+'Table1-OUI Data'!K125)/'Table1-OUI Data'!D125</f>
        <v>0.91550699494297</v>
      </c>
      <c r="F124" s="3">
        <f>'Table1-OUI Data'!G125/100</f>
        <v>0.09</v>
      </c>
      <c r="G124" s="9">
        <f t="shared" si="4"/>
        <v>0.274256104072617</v>
      </c>
    </row>
    <row r="125" spans="1:7">
      <c r="A125" s="2">
        <v>2020</v>
      </c>
      <c r="B125" s="2">
        <v>4</v>
      </c>
      <c r="C125" s="8">
        <v>0.696666666666667</v>
      </c>
      <c r="D125" s="4">
        <f>'Table1-OUI Data'!I126*C125/('Table1-OUI Data'!E126+'Table1-OUI Data'!K126)</f>
        <v>0.050395218393827</v>
      </c>
      <c r="E125" s="4">
        <f>('Table1-OUI Data'!E126+'Table1-OUI Data'!K126)/'Table1-OUI Data'!D126</f>
        <v>0.901554474516002</v>
      </c>
      <c r="F125" s="3">
        <f>'Table1-OUI Data'!G126/100</f>
        <v>0.065</v>
      </c>
      <c r="G125" s="9">
        <f t="shared" si="4"/>
        <v>0.198749158650329</v>
      </c>
    </row>
    <row r="126" spans="1:7">
      <c r="A126" s="2">
        <v>2021</v>
      </c>
      <c r="B126" s="2">
        <v>1</v>
      </c>
      <c r="C126" s="8">
        <v>0.676666666666667</v>
      </c>
      <c r="D126" s="4">
        <f>'Table1-OUI Data'!I127*C126/('Table1-OUI Data'!E127+'Table1-OUI Data'!K127)</f>
        <v>0.0497953816665079</v>
      </c>
      <c r="E126" s="4">
        <f>('Table1-OUI Data'!E127+'Table1-OUI Data'!K127)/'Table1-OUI Data'!D127</f>
        <v>0.887460482503373</v>
      </c>
      <c r="F126" s="3">
        <f>'Table1-OUI Data'!G127/100</f>
        <v>0.065</v>
      </c>
      <c r="G126" s="9">
        <f t="shared" si="4"/>
        <v>0.18490008685549</v>
      </c>
    </row>
    <row r="127" spans="1:7">
      <c r="A127" s="2">
        <v>2021</v>
      </c>
      <c r="B127" s="2">
        <v>2</v>
      </c>
      <c r="C127" s="8">
        <v>0.616</v>
      </c>
      <c r="D127" s="4">
        <f>'Table1-OUI Data'!I128*C127/('Table1-OUI Data'!E128+'Table1-OUI Data'!K128)</f>
        <v>0.0400642769985418</v>
      </c>
      <c r="E127" s="4">
        <f>('Table1-OUI Data'!E128+'Table1-OUI Data'!K128)/'Table1-OUI Data'!D128</f>
        <v>0.891418555205978</v>
      </c>
      <c r="F127" s="3">
        <f>'Table1-OUI Data'!G128/100</f>
        <v>0.058</v>
      </c>
      <c r="G127" s="9">
        <f t="shared" si="4"/>
        <v>0.205246486863976</v>
      </c>
    </row>
    <row r="128" spans="1:7">
      <c r="A128" s="2">
        <v>2021</v>
      </c>
      <c r="B128" s="2">
        <v>3</v>
      </c>
      <c r="C128" s="8">
        <v>0.531333333333333</v>
      </c>
      <c r="D128" s="4">
        <f>'Table1-OUI Data'!I129*C128/('Table1-OUI Data'!E129+'Table1-OUI Data'!K129)</f>
        <v>0.0311288646247146</v>
      </c>
      <c r="E128" s="4">
        <f>('Table1-OUI Data'!E129+'Table1-OUI Data'!K129)/'Table1-OUI Data'!D129</f>
        <v>0.888361969448024</v>
      </c>
      <c r="F128" s="3">
        <f>'Table1-OUI Data'!G129/100</f>
        <v>0.052</v>
      </c>
      <c r="G128" s="9">
        <f t="shared" si="4"/>
        <v>0.218082497469109</v>
      </c>
    </row>
    <row r="129" spans="1:7">
      <c r="A129" s="2">
        <v>2021</v>
      </c>
      <c r="B129" s="2">
        <v>4</v>
      </c>
      <c r="C129" s="8">
        <v>0.492666666666667</v>
      </c>
      <c r="D129" s="4">
        <f>'Table1-OUI Data'!I130*C129/('Table1-OUI Data'!E130+'Table1-OUI Data'!K130)</f>
        <v>0.0216267624487676</v>
      </c>
      <c r="E129" s="4">
        <f>('Table1-OUI Data'!E130+'Table1-OUI Data'!K130)/'Table1-OUI Data'!D130</f>
        <v>0.904453112590873</v>
      </c>
      <c r="F129" s="3">
        <f>'Table1-OUI Data'!G130/100</f>
        <v>0.04</v>
      </c>
      <c r="G129" s="9">
        <f t="shared" si="4"/>
        <v>0.213922273578912</v>
      </c>
    </row>
    <row r="130" spans="1:7">
      <c r="A130" s="2">
        <v>2022</v>
      </c>
      <c r="B130" s="2">
        <v>1</v>
      </c>
      <c r="C130" s="8">
        <v>0.514333333333333</v>
      </c>
      <c r="D130" s="4">
        <f>'Table1-OUI Data'!I131*C130/('Table1-OUI Data'!E131+'Table1-OUI Data'!K131)</f>
        <v>0.0237886431868179</v>
      </c>
      <c r="E130" s="4">
        <f>('Table1-OUI Data'!E131+'Table1-OUI Data'!K131)/'Table1-OUI Data'!D131</f>
        <v>0.891084314689091</v>
      </c>
      <c r="F130" s="3">
        <f>'Table1-OUI Data'!G131/100</f>
        <v>0.041</v>
      </c>
      <c r="G130" s="9">
        <f t="shared" si="4"/>
        <v>0.181813235916973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Read Me</vt:lpstr>
      <vt:lpstr>Table1-OUI Data</vt:lpstr>
      <vt:lpstr>Table2-Construction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淡定笃行</cp:lastModifiedBy>
  <dcterms:created xsi:type="dcterms:W3CDTF">2023-05-27T16:04:00Z</dcterms:created>
  <dcterms:modified xsi:type="dcterms:W3CDTF">2023-06-23T15:10:59Z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805E2A32AC664470B5B0658F02DD07D9_12</vt:lpwstr>
  </property>
  <property fmtid="{D5CDD505-2E9C-101B-9397-08002B2CF9AE}" pid="3" name="KSOProductBuildVer">
    <vt:lpwstr>2052-11.1.0.14309</vt:lpwstr>
  </property>
</Properties>
</file>